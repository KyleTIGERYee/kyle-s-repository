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615" tabRatio="782" firstSheet="4" activeTab="11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【4】价目表" sheetId="33" r:id="rId13"/>
    <sheet name="【5】平面图" sheetId="34" r:id="rId14"/>
    <sheet name="【补充】采光验证因素" sheetId="35" state="hidden" r:id="rId15"/>
  </sheets>
  <externalReferences>
    <externalReference r:id="rId16"/>
  </externalReferences>
  <definedNames>
    <definedName name="_xlnm._FilterDatabase" localSheetId="2" hidden="1">各村基准价!$A$1:$C$88</definedName>
    <definedName name="_xlnm._FilterDatabase" localSheetId="11" hidden="1">'【3-2】大区&amp;运营中心填-房间模型价'!$A$1:$AF$20</definedName>
    <definedName name="采光">【1】定价因子!$D$45:$D$50</definedName>
    <definedName name="床型">【1】定价因子!$D$52:$D$57</definedName>
    <definedName name="地铁站步行时间">【1】定价因子!#REF!</definedName>
    <definedName name="电梯房楼层">【1】定价因子!$D$29:$D$37</definedName>
    <definedName name="公区步行距离">【1】定价因子!$D$2:$D$6</definedName>
    <definedName name="功能">【1】定价因子!$D$39:$D$44</definedName>
    <definedName name="户型格局">【1】定价因子!#REF!</definedName>
    <definedName name="楼栋外观">【1】定价因子!#REF!</definedName>
    <definedName name="楼梯房楼层">【1】定价因子!$D$19:$D$28</definedName>
    <definedName name="套内空间">【1】定价因子!$D$9:$D$13</definedName>
    <definedName name="梯户比">【1】定价因子!#REF!</definedName>
    <definedName name="阳台">【1】定价因子!$D$14:$D$18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sharedStrings.xml><?xml version="1.0" encoding="utf-8"?>
<sst xmlns="http://schemas.openxmlformats.org/spreadsheetml/2006/main" count="1385" uniqueCount="526">
  <si>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</si>
  <si>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</si>
  <si>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</si>
  <si>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</si>
  <si>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</si>
  <si>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</si>
  <si>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</si>
  <si>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</si>
  <si>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</si>
  <si>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</si>
  <si>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</si>
  <si>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</si>
  <si>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</si>
  <si>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</si>
  <si>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</si>
  <si>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</si>
  <si>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</si>
  <si>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</si>
  <si>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</si>
  <si>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</si>
  <si>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</si>
  <si>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</si>
  <si>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</si>
  <si>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</si>
  <si>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</si>
  <si>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</si>
  <si>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</si>
  <si>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</si>
  <si>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</si>
  <si>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</si>
  <si>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</si>
  <si>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</si>
  <si>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</si>
  <si>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</si>
  <si>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</si>
  <si>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</si>
  <si>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</si>
  <si>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</si>
  <si>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</si>
  <si>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</si>
  <si>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</si>
  <si>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</si>
  <si>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</si>
  <si>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</si>
  <si>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</si>
  <si>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</si>
  <si>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</si>
  <si>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</si>
  <si>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</si>
  <si>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</si>
  <si>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</si>
  <si>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</si>
  <si>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</si>
  <si>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</si>
  <si>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</si>
  <si>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</si>
  <si>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</si>
  <si>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</si>
  <si>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</si>
  <si>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</si>
  <si>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</si>
  <si>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</si>
  <si>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</si>
  <si>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</si>
  <si>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</si>
  <si>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</si>
  <si>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</si>
  <si>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</si>
  <si>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套内空间类型</t>
  </si>
  <si>
    <t>高架床/窄床</t>
  </si>
  <si>
    <t>正常开间</t>
  </si>
  <si>
    <t>正常一居室</t>
  </si>
  <si>
    <t>两居室</t>
  </si>
  <si>
    <t>&gt;18</t>
  </si>
  <si>
    <t>&gt;20㎡</t>
  </si>
  <si>
    <t>&gt;28㎡</t>
  </si>
  <si>
    <t>&gt;45㎡</t>
  </si>
  <si>
    <t>15-18㎡</t>
  </si>
  <si>
    <t>17-20㎡</t>
  </si>
  <si>
    <t>26-28㎡</t>
  </si>
  <si>
    <t>40-45㎡</t>
  </si>
  <si>
    <t>楼梯房楼层</t>
  </si>
  <si>
    <t>不考虑采光和视野的差异</t>
  </si>
  <si>
    <t>11-15㎡</t>
  </si>
  <si>
    <t>13-17㎡</t>
  </si>
  <si>
    <t>23-26㎡</t>
  </si>
  <si>
    <t>35-40㎡</t>
  </si>
  <si>
    <t>1F</t>
  </si>
  <si>
    <t>9-11㎡</t>
  </si>
  <si>
    <t>10-13㎡</t>
  </si>
  <si>
    <t>20-23㎡</t>
  </si>
  <si>
    <t>30-35㎡</t>
  </si>
  <si>
    <t>2F</t>
  </si>
  <si>
    <t>&lt;9㎡</t>
  </si>
  <si>
    <t>&lt;10㎡</t>
  </si>
  <si>
    <t>&lt;20㎡</t>
  </si>
  <si>
    <t>&lt;30㎡</t>
  </si>
  <si>
    <t>3F</t>
  </si>
  <si>
    <t>4F</t>
  </si>
  <si>
    <t>5F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</si>
  <si>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</si>
  <si>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</si>
  <si>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</si>
  <si>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</si>
  <si>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</si>
  <si>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</si>
  <si>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</si>
  <si>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</si>
  <si>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</si>
  <si>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</si>
  <si>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</si>
  <si>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</si>
  <si>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</si>
  <si>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</si>
  <si>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</si>
  <si>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充足（油烟机/沙发）</t>
  </si>
  <si>
    <t>充足（单人沙发/餐桌椅）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</si>
  <si>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</si>
  <si>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</si>
  <si>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</si>
  <si>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</si>
  <si>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</si>
  <si>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</si>
  <si>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</si>
  <si>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</si>
  <si>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</si>
  <si>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</si>
  <si>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</t>
  </si>
  <si>
    <t>操作台+书桌</t>
  </si>
  <si>
    <t>沙发+餐桌+操作台</t>
  </si>
  <si>
    <t>沙发+4人餐桌+操作台+电视柜</t>
  </si>
  <si>
    <t>充配（书桌）</t>
  </si>
  <si>
    <t>充足</t>
  </si>
  <si>
    <t>操作台+书桌+沙发/餐桌</t>
  </si>
  <si>
    <t>沙发+餐桌+操作台+电视柜/卧室书桌</t>
  </si>
  <si>
    <t>客厅（沙发、4人餐桌、茶几、电视柜、油烟机/冰箱）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</si>
  <si>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</si>
  <si>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</si>
  <si>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</si>
  <si>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</si>
  <si>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</si>
  <si>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</si>
  <si>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</si>
  <si>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</si>
  <si>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</si>
  <si>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</si>
  <si>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</si>
  <si>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</si>
  <si>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</si>
  <si>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</si>
  <si>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</si>
  <si>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</si>
  <si>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</si>
  <si>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</si>
  <si>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</si>
  <si>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</si>
  <si>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</si>
  <si>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</si>
  <si>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</si>
  <si>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</si>
  <si>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</si>
  <si>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</si>
  <si>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</si>
  <si>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</si>
  <si>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</si>
  <si>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</si>
  <si>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</si>
  <si>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</si>
  <si>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</si>
  <si>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</si>
  <si>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</si>
  <si>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</si>
  <si>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</si>
  <si>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</si>
  <si>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</si>
  <si>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</si>
  <si>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</si>
  <si>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</si>
  <si>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</si>
  <si>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</si>
  <si>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</si>
  <si>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</si>
  <si>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</si>
  <si>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</si>
  <si>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</si>
  <si>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</si>
  <si>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</si>
  <si>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</si>
  <si>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</si>
  <si>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</si>
  <si>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</si>
  <si>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</si>
  <si>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</si>
  <si>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</si>
  <si>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</si>
  <si>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</si>
  <si>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</si>
  <si>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</si>
  <si>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</si>
  <si>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</si>
  <si>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</si>
  <si>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</si>
  <si>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</si>
  <si>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</si>
  <si>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</si>
  <si>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</si>
  <si>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</si>
  <si>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</si>
  <si>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</si>
  <si>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</si>
  <si>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</si>
  <si>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</si>
  <si>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</si>
  <si>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</si>
  <si>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</si>
  <si>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</si>
  <si>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</si>
  <si>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</si>
  <si>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</si>
  <si>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</si>
  <si>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</si>
  <si>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</si>
  <si>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</si>
  <si>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</si>
  <si>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</si>
  <si>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</si>
  <si>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</si>
  <si>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</si>
  <si>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</si>
  <si>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</si>
  <si>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</si>
  <si>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</si>
  <si>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</si>
  <si>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</si>
  <si>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</si>
  <si>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</si>
  <si>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</si>
  <si>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</si>
  <si>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</si>
  <si>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</si>
  <si>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</si>
  <si>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</si>
  <si>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</si>
  <si>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</si>
  <si>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</si>
  <si>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</si>
  <si>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</si>
  <si>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</si>
  <si>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</si>
  <si>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</si>
  <si>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</si>
  <si>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</si>
  <si>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</si>
  <si>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</si>
  <si>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</si>
  <si>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</si>
  <si>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</si>
  <si>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</si>
  <si>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</si>
  <si>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</si>
  <si>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</si>
  <si>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</si>
  <si>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</si>
  <si>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</si>
  <si>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</si>
  <si>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</si>
  <si>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福围村</t>
  </si>
  <si>
    <t>楼栋号</t>
  </si>
  <si>
    <t>福围广生1-41栋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</si>
  <si>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</si>
  <si>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</si>
  <si>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</si>
  <si>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</si>
  <si>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</si>
  <si>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</si>
  <si>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</si>
  <si>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</si>
  <si>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</si>
  <si>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</si>
  <si>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</si>
  <si>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</si>
  <si>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</si>
  <si>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</si>
  <si>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</si>
  <si>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</si>
  <si>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</si>
  <si>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否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</si>
  <si>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</si>
  <si>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</si>
  <si>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</si>
  <si>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</si>
  <si>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</si>
  <si>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</si>
  <si>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</si>
  <si>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</si>
  <si>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</si>
  <si>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</si>
  <si>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</si>
  <si>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</si>
  <si>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</si>
  <si>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</si>
  <si>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</si>
  <si>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</si>
  <si>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</si>
  <si>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</si>
  <si>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</si>
  <si>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</si>
  <si>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</si>
  <si>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</si>
  <si>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</si>
  <si>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</si>
  <si>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</si>
  <si>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</si>
  <si>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</si>
  <si>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</si>
  <si>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</si>
  <si>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</si>
  <si>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</si>
  <si>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</si>
  <si>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</si>
  <si>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</si>
  <si>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</si>
  <si>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</si>
  <si>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</si>
  <si>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</si>
  <si>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</si>
  <si>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</si>
  <si>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</si>
  <si>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</si>
  <si>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</si>
  <si>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</si>
  <si>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</si>
  <si>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</si>
  <si>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</si>
  <si>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</si>
  <si>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</si>
  <si>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</si>
  <si>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</si>
  <si>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</si>
  <si>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</si>
  <si>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</si>
  <si>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</si>
  <si>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</si>
  <si>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</si>
  <si>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</si>
  <si>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</si>
  <si>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</si>
  <si>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</si>
  <si>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</si>
  <si>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</si>
  <si>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</si>
  <si>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</si>
  <si>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</si>
  <si>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</si>
  <si>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</si>
  <si>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</si>
  <si>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</si>
  <si>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</si>
  <si>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</si>
  <si>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</si>
  <si>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</si>
  <si>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</si>
  <si>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</si>
  <si>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</si>
  <si>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</si>
  <si>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</si>
  <si>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</si>
  <si>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</si>
  <si>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</si>
  <si>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</si>
  <si>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</si>
  <si>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</si>
  <si>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</si>
  <si>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</si>
  <si>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</si>
  <si>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</si>
  <si>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</si>
  <si>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</si>
  <si>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</si>
  <si>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</si>
  <si>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</si>
  <si>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</si>
  <si>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</si>
  <si>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</si>
  <si>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</si>
  <si>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</si>
  <si>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</si>
  <si>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</si>
  <si>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</si>
  <si>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</si>
  <si>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</si>
  <si>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</si>
  <si>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</si>
  <si>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</si>
  <si>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</si>
  <si>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</si>
  <si>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</si>
  <si>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</si>
  <si>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</si>
  <si>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</si>
  <si>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</si>
  <si>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</si>
  <si>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</si>
  <si>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</si>
  <si>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</si>
  <si>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</si>
  <si>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</si>
  <si>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</si>
  <si>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</si>
  <si>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</si>
  <si>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</si>
  <si>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</si>
  <si>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</si>
  <si>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</si>
  <si>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</si>
  <si>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</si>
  <si>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</si>
  <si>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</si>
  <si>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</si>
  <si>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</si>
  <si>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</si>
  <si>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</si>
  <si>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</si>
  <si>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</si>
  <si>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</si>
  <si>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</si>
  <si>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</si>
  <si>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</si>
  <si>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</si>
  <si>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</si>
  <si>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</si>
  <si>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</si>
  <si>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</si>
  <si>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</si>
  <si>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</si>
  <si>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</si>
  <si>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</si>
  <si>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</si>
  <si>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</si>
  <si>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</si>
  <si>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</si>
  <si>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</si>
  <si>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</si>
  <si>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</si>
  <si>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</si>
  <si>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</si>
  <si>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是否简装</t>
  </si>
  <si>
    <t>调价倍数3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</si>
  <si>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</si>
  <si>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</si>
  <si>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</si>
  <si>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</si>
  <si>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</si>
  <si>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</si>
  <si>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</si>
  <si>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</si>
  <si>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</si>
  <si>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</si>
  <si>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</si>
  <si>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</si>
  <si>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</si>
  <si>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</si>
  <si>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</si>
  <si>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</si>
  <si>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</si>
  <si>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</si>
  <si>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</si>
  <si>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</si>
  <si>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</si>
  <si>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</si>
  <si>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</si>
  <si>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</si>
  <si>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</si>
  <si>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</si>
  <si>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</si>
  <si>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</si>
  <si>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</si>
  <si>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调价倍数4</t>
  </si>
  <si>
    <t>调价倍数5</t>
  </si>
  <si>
    <t>调价倍数6</t>
  </si>
  <si>
    <t>调价倍数7</t>
  </si>
  <si>
    <t>调价倍数8</t>
  </si>
  <si>
    <t>房间模型价</t>
  </si>
  <si>
    <t>实际定价</t>
  </si>
  <si>
    <t>差距</t>
  </si>
  <si>
    <t>原实际定价</t>
  </si>
  <si>
    <t>1-41A</t>
  </si>
  <si>
    <t>1-41B</t>
  </si>
  <si>
    <t>1-41C</t>
  </si>
  <si>
    <t>1-41D</t>
  </si>
  <si>
    <t>1-41E</t>
  </si>
  <si>
    <t>1-41F</t>
  </si>
  <si>
    <t>1-41G</t>
  </si>
  <si>
    <t>1层</t>
  </si>
  <si>
    <t>房号</t>
  </si>
  <si>
    <t>价格</t>
  </si>
  <si>
    <t>2层</t>
  </si>
  <si>
    <t>3层</t>
  </si>
  <si>
    <t>4层</t>
  </si>
  <si>
    <t>5层</t>
  </si>
  <si>
    <t>6层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</si>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</sst>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 "/>
    <numFmt numFmtId="178" formatCode="0.00_ "/>
    <numFmt numFmtId="179" formatCode="0_ "/>
    <numFmt numFmtId="180" formatCode="_ * #,##0.000_ ;_ * \-#,##0.000_ ;_ * &quot;-&quot;??_ ;_ @_ "/>
    <numFmt numFmtId="181" formatCode="0.0%"/>
    <numFmt numFmtId="182" formatCode="_ * #,##0_ ;_ * \-#,##0_ ;_ * &quot;-&quot;??_ ;_ @_ "/>
    <numFmt numFmtId="183" formatCode="_ * #,##0.0_ ;_ * \-#,##0.0_ ;_ * &quot;-&quot;??_ ;_ @_ "/>
    <numFmt numFmtId="184" formatCode="[$-F800]dddd\,\ mmmm\ dd\,\ yyyy"/>
  </numFmts>
  <fonts count="68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color indexed="8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rgb="FFFF0000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Microsoft YaHei Light"/>
      <charset val="134"/>
    </font>
    <font>
      <b/>
      <sz val="11"/>
      <color indexed="10"/>
      <name val="微软雅黑"/>
      <charset val="134"/>
    </font>
    <font>
      <b/>
      <sz val="10"/>
      <color indexed="9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68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43" borderId="54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0" borderId="56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44" borderId="57" applyNumberFormat="0" applyAlignment="0" applyProtection="0">
      <alignment vertical="center"/>
    </xf>
    <xf numFmtId="0" fontId="51" fillId="45" borderId="58" applyNumberFormat="0" applyAlignment="0" applyProtection="0">
      <alignment vertical="center"/>
    </xf>
    <xf numFmtId="0" fontId="52" fillId="45" borderId="57" applyNumberFormat="0" applyAlignment="0" applyProtection="0">
      <alignment vertical="center"/>
    </xf>
    <xf numFmtId="0" fontId="53" fillId="46" borderId="59" applyNumberFormat="0" applyAlignment="0" applyProtection="0">
      <alignment vertical="center"/>
    </xf>
    <xf numFmtId="0" fontId="54" fillId="0" borderId="60" applyNumberFormat="0" applyFill="0" applyAlignment="0" applyProtection="0">
      <alignment vertical="center"/>
    </xf>
    <xf numFmtId="0" fontId="55" fillId="0" borderId="61" applyNumberFormat="0" applyFill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60" fillId="65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59" fillId="67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326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13" borderId="0" xfId="0" applyFill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78" fontId="0" fillId="15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9" fontId="0" fillId="18" borderId="1" xfId="0" applyNumberForma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49" fontId="9" fillId="13" borderId="1" xfId="0" applyNumberFormat="1" applyFont="1" applyFill="1" applyBorder="1" applyAlignment="1">
      <alignment horizontal="center" vertical="center" wrapText="1"/>
    </xf>
    <xf numFmtId="178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79" fontId="0" fillId="13" borderId="1" xfId="0" applyNumberFormat="1" applyFill="1" applyBorder="1" applyAlignment="1">
      <alignment horizontal="center" vertical="center"/>
    </xf>
    <xf numFmtId="179" fontId="0" fillId="13" borderId="0" xfId="0" applyNumberFormat="1" applyFill="1"/>
    <xf numFmtId="10" fontId="0" fillId="13" borderId="1" xfId="3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 wrapText="1"/>
    </xf>
    <xf numFmtId="179" fontId="0" fillId="17" borderId="1" xfId="0" applyNumberFormat="1" applyFill="1" applyBorder="1" applyAlignment="1">
      <alignment horizontal="center" vertical="center"/>
    </xf>
    <xf numFmtId="179" fontId="0" fillId="0" borderId="0" xfId="0" applyNumberFormat="1"/>
    <xf numFmtId="10" fontId="0" fillId="0" borderId="1" xfId="3" applyNumberFormat="1" applyFont="1" applyFill="1" applyBorder="1" applyAlignment="1">
      <alignment horizontal="center" vertical="center"/>
    </xf>
    <xf numFmtId="0" fontId="10" fillId="21" borderId="0" xfId="0" applyFont="1" applyFill="1" applyAlignment="1">
      <alignment vertical="center"/>
    </xf>
    <xf numFmtId="0" fontId="0" fillId="22" borderId="1" xfId="0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/>
    <xf numFmtId="0" fontId="0" fillId="1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2" borderId="0" xfId="0" applyFont="1" applyFill="1" applyAlignment="1">
      <alignment horizontal="center"/>
    </xf>
    <xf numFmtId="179" fontId="0" fillId="15" borderId="0" xfId="0" applyNumberFormat="1" applyFill="1" applyAlignment="1">
      <alignment horizontal="center"/>
    </xf>
    <xf numFmtId="0" fontId="0" fillId="14" borderId="1" xfId="0" applyFill="1" applyBorder="1" applyAlignment="1">
      <alignment vertical="center"/>
    </xf>
    <xf numFmtId="0" fontId="13" fillId="14" borderId="4" xfId="0" applyFont="1" applyFill="1" applyBorder="1" applyAlignment="1">
      <alignment vertical="center"/>
    </xf>
    <xf numFmtId="0" fontId="0" fillId="15" borderId="4" xfId="0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14" fillId="0" borderId="0" xfId="0" applyFont="1"/>
    <xf numFmtId="180" fontId="14" fillId="0" borderId="0" xfId="1" applyNumberFormat="1" applyFont="1" applyAlignment="1"/>
    <xf numFmtId="0" fontId="15" fillId="0" borderId="0" xfId="0" applyFont="1"/>
    <xf numFmtId="0" fontId="15" fillId="0" borderId="0" xfId="0" applyFont="1" applyAlignment="1">
      <alignment horizontal="center"/>
    </xf>
    <xf numFmtId="181" fontId="15" fillId="0" borderId="0" xfId="3" applyNumberFormat="1" applyFont="1" applyFill="1" applyAlignment="1"/>
    <xf numFmtId="0" fontId="16" fillId="0" borderId="1" xfId="0" applyFont="1" applyBorder="1" applyAlignment="1">
      <alignment horizontal="center"/>
    </xf>
    <xf numFmtId="0" fontId="17" fillId="26" borderId="8" xfId="0" applyFont="1" applyFill="1" applyBorder="1" applyAlignment="1">
      <alignment vertical="top" wrapText="1"/>
    </xf>
    <xf numFmtId="0" fontId="17" fillId="26" borderId="9" xfId="0" applyFont="1" applyFill="1" applyBorder="1" applyAlignment="1">
      <alignment horizontal="center" vertical="top" wrapText="1"/>
    </xf>
    <xf numFmtId="0" fontId="17" fillId="26" borderId="9" xfId="0" applyFont="1" applyFill="1" applyBorder="1" applyAlignment="1">
      <alignment vertical="top" wrapText="1"/>
    </xf>
    <xf numFmtId="181" fontId="17" fillId="0" borderId="9" xfId="3" applyNumberFormat="1" applyFont="1" applyFill="1" applyBorder="1" applyAlignment="1">
      <alignment vertical="top" wrapText="1"/>
    </xf>
    <xf numFmtId="0" fontId="18" fillId="27" borderId="9" xfId="0" applyFont="1" applyFill="1" applyBorder="1" applyAlignment="1">
      <alignment horizontal="left" vertical="center" wrapText="1" readingOrder="1"/>
    </xf>
    <xf numFmtId="0" fontId="18" fillId="26" borderId="9" xfId="0" applyFont="1" applyFill="1" applyBorder="1" applyAlignment="1">
      <alignment horizontal="left" vertical="center" wrapText="1" readingOrder="1"/>
    </xf>
    <xf numFmtId="0" fontId="19" fillId="28" borderId="1" xfId="0" applyFont="1" applyFill="1" applyBorder="1" applyAlignment="1">
      <alignment vertical="top" wrapText="1"/>
    </xf>
    <xf numFmtId="0" fontId="19" fillId="28" borderId="1" xfId="0" applyFont="1" applyFill="1" applyBorder="1" applyAlignment="1">
      <alignment horizontal="center" vertical="top" wrapText="1"/>
    </xf>
    <xf numFmtId="181" fontId="19" fillId="0" borderId="1" xfId="3" applyNumberFormat="1" applyFont="1" applyFill="1" applyBorder="1" applyAlignment="1">
      <alignment vertical="top" wrapText="1"/>
    </xf>
    <xf numFmtId="0" fontId="17" fillId="29" borderId="1" xfId="0" applyFont="1" applyFill="1" applyBorder="1" applyAlignment="1">
      <alignment vertical="center" wrapText="1" readingOrder="1"/>
    </xf>
    <xf numFmtId="0" fontId="20" fillId="29" borderId="1" xfId="0" applyFont="1" applyFill="1" applyBorder="1" applyAlignment="1">
      <alignment vertical="center" wrapText="1" readingOrder="1"/>
    </xf>
    <xf numFmtId="0" fontId="19" fillId="29" borderId="1" xfId="0" applyFont="1" applyFill="1" applyBorder="1" applyAlignment="1">
      <alignment vertical="center" wrapText="1" readingOrder="1"/>
    </xf>
    <xf numFmtId="0" fontId="19" fillId="29" borderId="1" xfId="0" applyFont="1" applyFill="1" applyBorder="1" applyAlignment="1">
      <alignment horizontal="center" vertical="center" wrapText="1" readingOrder="1"/>
    </xf>
    <xf numFmtId="181" fontId="19" fillId="0" borderId="1" xfId="3" applyNumberFormat="1" applyFont="1" applyFill="1" applyBorder="1" applyAlignment="1">
      <alignment vertical="center" wrapText="1" readingOrder="1"/>
    </xf>
    <xf numFmtId="0" fontId="19" fillId="29" borderId="0" xfId="0" applyFont="1" applyFill="1" applyAlignment="1">
      <alignment vertical="center" wrapText="1" readingOrder="1"/>
    </xf>
    <xf numFmtId="0" fontId="19" fillId="29" borderId="0" xfId="0" applyFont="1" applyFill="1" applyAlignment="1">
      <alignment horizontal="center" vertical="center" wrapText="1" readingOrder="1"/>
    </xf>
    <xf numFmtId="181" fontId="19" fillId="0" borderId="0" xfId="3" applyNumberFormat="1" applyFont="1" applyFill="1" applyBorder="1" applyAlignment="1">
      <alignment vertical="center" wrapText="1" readingOrder="1"/>
    </xf>
    <xf numFmtId="0" fontId="17" fillId="29" borderId="0" xfId="0" applyFont="1" applyFill="1" applyAlignment="1">
      <alignment vertical="center" wrapText="1" readingOrder="1"/>
    </xf>
    <xf numFmtId="182" fontId="19" fillId="29" borderId="0" xfId="1" applyNumberFormat="1" applyFont="1" applyFill="1" applyBorder="1" applyAlignment="1">
      <alignment vertical="center" wrapText="1" readingOrder="1"/>
    </xf>
    <xf numFmtId="180" fontId="19" fillId="29" borderId="0" xfId="1" applyNumberFormat="1" applyFont="1" applyFill="1" applyBorder="1" applyAlignment="1">
      <alignment vertical="center" wrapText="1" readingOrder="1"/>
    </xf>
    <xf numFmtId="180" fontId="17" fillId="29" borderId="0" xfId="1" applyNumberFormat="1" applyFont="1" applyFill="1" applyBorder="1" applyAlignment="1">
      <alignment vertical="center" wrapText="1" readingOrder="1"/>
    </xf>
    <xf numFmtId="180" fontId="20" fillId="29" borderId="1" xfId="1" applyNumberFormat="1" applyFont="1" applyFill="1" applyBorder="1" applyAlignment="1">
      <alignment vertical="center" wrapText="1" readingOrder="1"/>
    </xf>
    <xf numFmtId="180" fontId="17" fillId="29" borderId="1" xfId="1" applyNumberFormat="1" applyFont="1" applyFill="1" applyBorder="1" applyAlignment="1">
      <alignment vertical="center" wrapText="1" readingOrder="1"/>
    </xf>
    <xf numFmtId="180" fontId="20" fillId="15" borderId="1" xfId="1" applyNumberFormat="1" applyFont="1" applyFill="1" applyBorder="1" applyAlignment="1">
      <alignment vertical="center" wrapText="1" readingOrder="1"/>
    </xf>
    <xf numFmtId="0" fontId="13" fillId="28" borderId="1" xfId="0" applyFont="1" applyFill="1" applyBorder="1" applyAlignment="1">
      <alignment horizontal="center" vertical="center"/>
    </xf>
    <xf numFmtId="180" fontId="17" fillId="29" borderId="0" xfId="0" applyNumberFormat="1" applyFont="1" applyFill="1" applyAlignment="1">
      <alignment vertical="center" wrapText="1" readingOrder="1"/>
    </xf>
    <xf numFmtId="180" fontId="20" fillId="29" borderId="0" xfId="1" applyNumberFormat="1" applyFont="1" applyFill="1" applyBorder="1" applyAlignment="1">
      <alignment vertical="center" wrapText="1" readingOrder="1"/>
    </xf>
    <xf numFmtId="180" fontId="20" fillId="29" borderId="0" xfId="0" applyNumberFormat="1" applyFont="1" applyFill="1" applyAlignment="1">
      <alignment vertical="center" wrapText="1" readingOrder="1"/>
    </xf>
    <xf numFmtId="180" fontId="13" fillId="28" borderId="0" xfId="0" applyNumberFormat="1" applyFont="1" applyFill="1" applyAlignment="1">
      <alignment horizontal="center" vertical="center"/>
    </xf>
    <xf numFmtId="182" fontId="19" fillId="15" borderId="0" xfId="1" applyNumberFormat="1" applyFont="1" applyFill="1" applyBorder="1" applyAlignment="1">
      <alignment vertical="center" wrapText="1" readingOrder="1"/>
    </xf>
    <xf numFmtId="180" fontId="17" fillId="29" borderId="1" xfId="0" applyNumberFormat="1" applyFont="1" applyFill="1" applyBorder="1" applyAlignment="1">
      <alignment vertical="center" wrapText="1" readingOrder="1"/>
    </xf>
    <xf numFmtId="181" fontId="19" fillId="15" borderId="0" xfId="3" applyNumberFormat="1" applyFont="1" applyFill="1" applyBorder="1" applyAlignment="1">
      <alignment vertical="center" wrapText="1" readingOrder="1"/>
    </xf>
    <xf numFmtId="180" fontId="20" fillId="29" borderId="1" xfId="0" applyNumberFormat="1" applyFont="1" applyFill="1" applyBorder="1" applyAlignment="1">
      <alignment vertical="center" wrapText="1" readingOrder="1"/>
    </xf>
    <xf numFmtId="0" fontId="19" fillId="15" borderId="0" xfId="0" applyFont="1" applyFill="1" applyAlignment="1">
      <alignment vertical="center" wrapText="1" readingOrder="1"/>
    </xf>
    <xf numFmtId="0" fontId="13" fillId="15" borderId="1" xfId="0" applyFont="1" applyFill="1" applyBorder="1" applyAlignment="1">
      <alignment horizontal="center" vertical="center"/>
    </xf>
    <xf numFmtId="180" fontId="17" fillId="15" borderId="0" xfId="0" applyNumberFormat="1" applyFont="1" applyFill="1" applyAlignment="1">
      <alignment vertical="center" wrapText="1" readingOrder="1"/>
    </xf>
    <xf numFmtId="0" fontId="20" fillId="29" borderId="0" xfId="0" applyFont="1" applyFill="1" applyAlignment="1">
      <alignment vertical="center" wrapText="1" readingOrder="1"/>
    </xf>
    <xf numFmtId="9" fontId="19" fillId="0" borderId="0" xfId="3" applyFont="1" applyFill="1" applyBorder="1" applyAlignment="1">
      <alignment vertical="center" wrapText="1" readingOrder="1"/>
    </xf>
    <xf numFmtId="180" fontId="14" fillId="0" borderId="0" xfId="0" applyNumberFormat="1" applyFont="1"/>
    <xf numFmtId="10" fontId="14" fillId="0" borderId="0" xfId="0" applyNumberFormat="1" applyFont="1"/>
    <xf numFmtId="181" fontId="17" fillId="0" borderId="0" xfId="3" applyNumberFormat="1" applyFont="1" applyFill="1" applyBorder="1" applyAlignment="1">
      <alignment vertical="center" wrapText="1" readingOrder="1"/>
    </xf>
    <xf numFmtId="181" fontId="15" fillId="0" borderId="0" xfId="3" applyNumberFormat="1" applyFont="1" applyFill="1" applyBorder="1" applyAlignment="1"/>
    <xf numFmtId="0" fontId="17" fillId="0" borderId="0" xfId="0" applyFont="1" applyAlignment="1">
      <alignment vertical="center" wrapText="1" readingOrder="1"/>
    </xf>
    <xf numFmtId="0" fontId="21" fillId="0" borderId="0" xfId="0" applyFont="1"/>
    <xf numFmtId="182" fontId="0" fillId="0" borderId="0" xfId="1" applyNumberFormat="1" applyFont="1" applyAlignment="1"/>
    <xf numFmtId="182" fontId="21" fillId="0" borderId="0" xfId="1" applyNumberFormat="1" applyFont="1" applyAlignment="1"/>
    <xf numFmtId="183" fontId="0" fillId="0" borderId="0" xfId="1" applyNumberFormat="1" applyFont="1" applyAlignment="1"/>
    <xf numFmtId="9" fontId="0" fillId="0" borderId="0" xfId="3" applyFont="1" applyAlignment="1"/>
    <xf numFmtId="182" fontId="0" fillId="15" borderId="0" xfId="1" applyNumberFormat="1" applyFont="1" applyFill="1" applyAlignment="1"/>
    <xf numFmtId="0" fontId="18" fillId="26" borderId="1" xfId="0" applyFont="1" applyFill="1" applyBorder="1" applyAlignment="1">
      <alignment horizontal="left" vertical="center" wrapText="1" readingOrder="1"/>
    </xf>
    <xf numFmtId="0" fontId="22" fillId="26" borderId="1" xfId="0" applyFont="1" applyFill="1" applyBorder="1" applyAlignment="1">
      <alignment horizontal="left" vertical="center" wrapText="1" readingOrder="1"/>
    </xf>
    <xf numFmtId="182" fontId="0" fillId="0" borderId="0" xfId="0" applyNumberFormat="1"/>
    <xf numFmtId="176" fontId="0" fillId="0" borderId="0" xfId="0" applyNumberFormat="1"/>
    <xf numFmtId="0" fontId="19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2" fillId="3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Border="1" applyAlignment="1">
      <alignment horizontal="center" vertical="center"/>
    </xf>
    <xf numFmtId="0" fontId="24" fillId="30" borderId="1" xfId="0" applyFon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25" fillId="3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1" borderId="6" xfId="0" applyFont="1" applyFill="1" applyBorder="1" applyAlignment="1">
      <alignment horizontal="center" vertical="center"/>
    </xf>
    <xf numFmtId="0" fontId="2" fillId="31" borderId="10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1" fillId="3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1" fillId="3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3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1" fillId="32" borderId="19" xfId="0" applyFont="1" applyFill="1" applyBorder="1" applyAlignment="1">
      <alignment horizontal="center" vertical="center"/>
    </xf>
    <xf numFmtId="0" fontId="2" fillId="15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7" fontId="2" fillId="0" borderId="21" xfId="0" applyNumberFormat="1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  <xf numFmtId="177" fontId="2" fillId="0" borderId="20" xfId="0" applyNumberFormat="1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  <xf numFmtId="177" fontId="8" fillId="15" borderId="22" xfId="0" applyNumberFormat="1" applyFont="1" applyFill="1" applyBorder="1" applyAlignment="1">
      <alignment horizontal="center" vertical="center"/>
    </xf>
    <xf numFmtId="177" fontId="8" fillId="15" borderId="25" xfId="0" applyNumberFormat="1" applyFont="1" applyFill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11" fillId="33" borderId="29" xfId="0" applyFont="1" applyFill="1" applyBorder="1" applyAlignment="1">
      <alignment horizontal="center" vertical="center"/>
    </xf>
    <xf numFmtId="0" fontId="11" fillId="34" borderId="13" xfId="0" applyFont="1" applyFill="1" applyBorder="1" applyAlignment="1">
      <alignment horizontal="center" vertical="center"/>
    </xf>
    <xf numFmtId="0" fontId="11" fillId="33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11" fillId="34" borderId="3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1" fillId="33" borderId="3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9" fontId="2" fillId="0" borderId="21" xfId="3" applyFont="1" applyBorder="1" applyAlignment="1">
      <alignment horizontal="center" vertical="center"/>
    </xf>
    <xf numFmtId="0" fontId="11" fillId="34" borderId="22" xfId="0" applyFont="1" applyFill="1" applyBorder="1" applyAlignment="1">
      <alignment horizontal="center" vertical="center"/>
    </xf>
    <xf numFmtId="0" fontId="0" fillId="0" borderId="34" xfId="0" applyBorder="1"/>
    <xf numFmtId="0" fontId="11" fillId="0" borderId="34" xfId="0" applyFont="1" applyBorder="1" applyAlignment="1">
      <alignment vertical="center"/>
    </xf>
    <xf numFmtId="0" fontId="11" fillId="33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1" fillId="33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9" fontId="0" fillId="0" borderId="32" xfId="3" applyFont="1" applyBorder="1" applyAlignment="1">
      <alignment horizontal="center" vertical="center"/>
    </xf>
    <xf numFmtId="0" fontId="11" fillId="33" borderId="4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9" fontId="0" fillId="0" borderId="22" xfId="3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1" fillId="34" borderId="12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9" fontId="0" fillId="0" borderId="21" xfId="3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77" fontId="11" fillId="33" borderId="1" xfId="0" applyNumberFormat="1" applyFont="1" applyFill="1" applyBorder="1" applyAlignment="1">
      <alignment horizontal="center" vertical="center"/>
    </xf>
    <xf numFmtId="0" fontId="11" fillId="33" borderId="1" xfId="0" applyFont="1" applyFill="1" applyBorder="1" applyAlignment="1">
      <alignment horizontal="center" vertical="center"/>
    </xf>
    <xf numFmtId="177" fontId="11" fillId="32" borderId="1" xfId="0" applyNumberFormat="1" applyFont="1" applyFill="1" applyBorder="1" applyAlignment="1">
      <alignment horizontal="center" vertical="center"/>
    </xf>
    <xf numFmtId="177" fontId="11" fillId="35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9" fillId="36" borderId="44" xfId="0" applyFont="1" applyFill="1" applyBorder="1" applyAlignment="1">
      <alignment horizontal="center" vertical="center"/>
    </xf>
    <xf numFmtId="177" fontId="29" fillId="36" borderId="44" xfId="0" applyNumberFormat="1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177" fontId="6" fillId="0" borderId="44" xfId="0" applyNumberFormat="1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0" fillId="0" borderId="0" xfId="0" applyFont="1"/>
    <xf numFmtId="0" fontId="13" fillId="0" borderId="0" xfId="0" applyFont="1"/>
    <xf numFmtId="0" fontId="0" fillId="0" borderId="0" xfId="49"/>
    <xf numFmtId="0" fontId="3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0" fontId="30" fillId="37" borderId="1" xfId="0" applyFont="1" applyFill="1" applyBorder="1" applyAlignment="1">
      <alignment horizontal="center" vertical="center"/>
    </xf>
    <xf numFmtId="0" fontId="32" fillId="37" borderId="1" xfId="0" applyFont="1" applyFill="1" applyBorder="1" applyAlignment="1">
      <alignment horizontal="center" vertical="center"/>
    </xf>
    <xf numFmtId="180" fontId="32" fillId="37" borderId="1" xfId="1" applyNumberFormat="1" applyFont="1" applyFill="1" applyBorder="1" applyAlignment="1">
      <alignment vertical="center"/>
    </xf>
    <xf numFmtId="0" fontId="30" fillId="37" borderId="1" xfId="0" applyFont="1" applyFill="1" applyBorder="1" applyAlignment="1" applyProtection="1">
      <alignment horizontal="center" vertical="center"/>
      <protection locked="0"/>
    </xf>
    <xf numFmtId="0" fontId="30" fillId="37" borderId="1" xfId="0" applyFont="1" applyFill="1" applyBorder="1" applyAlignment="1">
      <alignment horizontal="left" vertical="center"/>
    </xf>
    <xf numFmtId="182" fontId="30" fillId="0" borderId="0" xfId="1" applyNumberFormat="1" applyFont="1" applyAlignment="1"/>
    <xf numFmtId="0" fontId="30" fillId="0" borderId="0" xfId="0" applyFont="1" applyAlignment="1">
      <alignment horizontal="center" vertical="center"/>
    </xf>
    <xf numFmtId="0" fontId="33" fillId="37" borderId="1" xfId="0" applyFont="1" applyFill="1" applyBorder="1" applyAlignment="1">
      <alignment horizontal="center" vertical="center"/>
    </xf>
    <xf numFmtId="0" fontId="34" fillId="38" borderId="4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vertical="center"/>
    </xf>
    <xf numFmtId="0" fontId="31" fillId="2" borderId="1" xfId="49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21" fillId="27" borderId="1" xfId="0" applyFont="1" applyFill="1" applyBorder="1" applyAlignment="1">
      <alignment horizontal="center" vertical="center"/>
    </xf>
    <xf numFmtId="0" fontId="34" fillId="38" borderId="5" xfId="0" applyFont="1" applyFill="1" applyBorder="1" applyAlignment="1">
      <alignment horizontal="center" vertical="center" wrapText="1"/>
    </xf>
    <xf numFmtId="0" fontId="14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34" fillId="38" borderId="7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40" borderId="4" xfId="0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6" fillId="40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8" fillId="27" borderId="1" xfId="0" applyFont="1" applyFill="1" applyBorder="1" applyAlignment="1">
      <alignment horizontal="center" vertical="center"/>
    </xf>
    <xf numFmtId="0" fontId="33" fillId="15" borderId="1" xfId="49" applyFont="1" applyFill="1" applyBorder="1" applyAlignment="1">
      <alignment horizontal="center"/>
    </xf>
    <xf numFmtId="0" fontId="38" fillId="14" borderId="1" xfId="49" applyFont="1" applyFill="1" applyBorder="1" applyAlignment="1">
      <alignment horizontal="center" vertical="center"/>
    </xf>
    <xf numFmtId="0" fontId="31" fillId="41" borderId="1" xfId="49" applyFont="1" applyFill="1" applyBorder="1" applyAlignment="1">
      <alignment horizontal="center" vertical="center"/>
    </xf>
    <xf numFmtId="0" fontId="36" fillId="40" borderId="7" xfId="0" applyFont="1" applyFill="1" applyBorder="1" applyAlignment="1">
      <alignment horizontal="center" vertical="center" wrapText="1"/>
    </xf>
    <xf numFmtId="0" fontId="1" fillId="42" borderId="1" xfId="49" applyFont="1" applyFill="1" applyBorder="1" applyAlignment="1">
      <alignment horizontal="center" vertical="center"/>
    </xf>
    <xf numFmtId="180" fontId="1" fillId="42" borderId="1" xfId="50" applyNumberFormat="1" applyFont="1" applyFill="1" applyBorder="1" applyAlignment="1">
      <alignment vertical="center"/>
    </xf>
    <xf numFmtId="0" fontId="37" fillId="2" borderId="4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49" applyFont="1" applyFill="1" applyBorder="1" applyAlignment="1">
      <alignment horizontal="center" vertical="center" wrapText="1"/>
    </xf>
    <xf numFmtId="0" fontId="37" fillId="2" borderId="4" xfId="49" applyFont="1" applyFill="1" applyBorder="1" applyAlignment="1">
      <alignment horizontal="center" vertical="center"/>
    </xf>
    <xf numFmtId="0" fontId="37" fillId="2" borderId="5" xfId="49" applyFont="1" applyFill="1" applyBorder="1" applyAlignment="1">
      <alignment horizontal="center" vertical="center"/>
    </xf>
    <xf numFmtId="0" fontId="33" fillId="27" borderId="46" xfId="49" applyFont="1" applyFill="1" applyBorder="1" applyAlignment="1">
      <alignment horizontal="center" vertical="center" wrapText="1"/>
    </xf>
    <xf numFmtId="0" fontId="33" fillId="15" borderId="47" xfId="49" applyFont="1" applyFill="1" applyBorder="1" applyAlignment="1">
      <alignment horizontal="center" vertical="center" wrapText="1"/>
    </xf>
    <xf numFmtId="0" fontId="33" fillId="15" borderId="48" xfId="49" applyFont="1" applyFill="1" applyBorder="1" applyAlignment="1">
      <alignment horizontal="center" vertical="center" wrapText="1"/>
    </xf>
    <xf numFmtId="0" fontId="39" fillId="14" borderId="1" xfId="49" applyFont="1" applyFill="1" applyBorder="1" applyAlignment="1">
      <alignment horizontal="center" vertical="center"/>
    </xf>
    <xf numFmtId="0" fontId="40" fillId="41" borderId="1" xfId="49" applyFont="1" applyFill="1" applyBorder="1" applyAlignment="1">
      <alignment horizontal="center" vertical="center" wrapText="1"/>
    </xf>
    <xf numFmtId="0" fontId="40" fillId="41" borderId="1" xfId="49" applyFont="1" applyFill="1" applyBorder="1" applyAlignment="1">
      <alignment horizontal="center" vertical="center"/>
    </xf>
    <xf numFmtId="0" fontId="40" fillId="41" borderId="49" xfId="49" applyFont="1" applyFill="1" applyBorder="1" applyAlignment="1">
      <alignment horizontal="center" vertical="center"/>
    </xf>
    <xf numFmtId="0" fontId="40" fillId="41" borderId="50" xfId="49" applyFont="1" applyFill="1" applyBorder="1" applyAlignment="1">
      <alignment horizontal="center" vertical="center" wrapText="1"/>
    </xf>
    <xf numFmtId="0" fontId="40" fillId="41" borderId="51" xfId="49" applyFont="1" applyFill="1" applyBorder="1" applyAlignment="1">
      <alignment horizontal="center" vertical="center" wrapText="1"/>
    </xf>
    <xf numFmtId="0" fontId="37" fillId="2" borderId="7" xfId="49" applyFont="1" applyFill="1" applyBorder="1" applyAlignment="1">
      <alignment horizontal="center" vertical="center"/>
    </xf>
    <xf numFmtId="0" fontId="36" fillId="40" borderId="0" xfId="0" applyFont="1" applyFill="1" applyAlignment="1">
      <alignment horizontal="center" vertical="center" wrapText="1"/>
    </xf>
    <xf numFmtId="180" fontId="1" fillId="2" borderId="1" xfId="50" applyNumberFormat="1" applyFont="1" applyFill="1" applyBorder="1" applyAlignment="1">
      <alignment horizontal="center" vertical="center"/>
    </xf>
    <xf numFmtId="0" fontId="36" fillId="40" borderId="5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>
      <alignment vertical="center"/>
    </xf>
    <xf numFmtId="0" fontId="31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2" fontId="0" fillId="0" borderId="0" xfId="50" applyNumberFormat="1" applyFont="1" applyAlignment="1"/>
    <xf numFmtId="0" fontId="31" fillId="0" borderId="1" xfId="0" applyFont="1" applyBorder="1" applyAlignment="1">
      <alignment horizontal="center" vertical="center" wrapText="1"/>
    </xf>
    <xf numFmtId="0" fontId="36" fillId="40" borderId="7" xfId="0" applyFont="1" applyFill="1" applyBorder="1" applyAlignment="1">
      <alignment vertical="center" wrapText="1"/>
    </xf>
    <xf numFmtId="184" fontId="0" fillId="0" borderId="0" xfId="0" applyNumberFormat="1"/>
    <xf numFmtId="0" fontId="0" fillId="0" borderId="0" xfId="0" applyAlignment="1">
      <alignment horizontal="left" wrapText="1"/>
    </xf>
    <xf numFmtId="0" fontId="41" fillId="13" borderId="52" xfId="0" applyFont="1" applyFill="1" applyBorder="1" applyAlignment="1">
      <alignment horizontal="center" vertical="center"/>
    </xf>
    <xf numFmtId="184" fontId="41" fillId="13" borderId="47" xfId="0" applyNumberFormat="1" applyFont="1" applyFill="1" applyBorder="1" applyAlignment="1">
      <alignment horizontal="center" vertical="center"/>
    </xf>
    <xf numFmtId="0" fontId="41" fillId="13" borderId="47" xfId="0" applyFont="1" applyFill="1" applyBorder="1" applyAlignment="1">
      <alignment horizontal="center" vertical="center"/>
    </xf>
    <xf numFmtId="184" fontId="41" fillId="13" borderId="48" xfId="0" applyNumberFormat="1" applyFont="1" applyFill="1" applyBorder="1" applyAlignment="1">
      <alignment horizontal="center" vertical="center"/>
    </xf>
    <xf numFmtId="184" fontId="0" fillId="0" borderId="53" xfId="0" applyNumberFormat="1" applyBorder="1" applyAlignment="1">
      <alignment horizontal="center" vertical="center"/>
    </xf>
    <xf numFmtId="184" fontId="0" fillId="0" borderId="53" xfId="0" applyNumberFormat="1" applyBorder="1" applyAlignment="1">
      <alignment horizontal="center" vertical="center" wrapText="1"/>
    </xf>
    <xf numFmtId="184" fontId="0" fillId="0" borderId="53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15</xdr:col>
      <xdr:colOff>497205</xdr:colOff>
      <xdr:row>55</xdr:row>
      <xdr:rowOff>60960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77425" y="3316605"/>
          <a:ext cx="4558665" cy="700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40</xdr:row>
      <xdr:rowOff>10795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137130" y="3318510"/>
          <a:ext cx="5339715" cy="4319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35</xdr:row>
      <xdr:rowOff>66040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071205" y="3296285"/>
          <a:ext cx="4653280" cy="3521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6095\Documents\WeChat%20Files\wxid_hldq90zfj37p22\FileStorage\File\2024-09\&#23433;&#23621;&#20048;&#23507;&#21508;&#26449;&#22522;&#20934;&#20215;_092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E2" t="str">
            <v>村</v>
          </cell>
          <cell r="F2" t="str">
            <v>梯度值</v>
          </cell>
          <cell r="G2" t="str">
            <v>开间</v>
          </cell>
          <cell r="H2" t="str">
            <v>一居室</v>
          </cell>
        </row>
        <row r="3">
          <cell r="E3" t="str">
            <v>上沙村/下沙五六七八坊</v>
          </cell>
          <cell r="F3">
            <v>1.39078590229685</v>
          </cell>
          <cell r="G3">
            <v>3181.00551573335</v>
          </cell>
          <cell r="H3">
            <v>3976.25689466669</v>
          </cell>
        </row>
        <row r="4">
          <cell r="E4" t="str">
            <v>上沙龙秋村</v>
          </cell>
          <cell r="F4">
            <v>1.34455435157532</v>
          </cell>
          <cell r="G4">
            <v>3075.26471292307</v>
          </cell>
          <cell r="H4">
            <v>3844.08089115384</v>
          </cell>
        </row>
        <row r="5">
          <cell r="E5" t="str">
            <v>新狮村</v>
          </cell>
          <cell r="F5">
            <v>1.34340047293642</v>
          </cell>
          <cell r="G5">
            <v>3072.62556170018</v>
          </cell>
          <cell r="H5">
            <v>3840.78195212522</v>
          </cell>
        </row>
        <row r="6">
          <cell r="E6" t="str">
            <v>新洲南村</v>
          </cell>
          <cell r="F6">
            <v>1.31812967810467</v>
          </cell>
          <cell r="G6">
            <v>3014.82619976101</v>
          </cell>
          <cell r="H6">
            <v>3768.53274970127</v>
          </cell>
        </row>
        <row r="7">
          <cell r="E7" t="str">
            <v>新洲中心村</v>
          </cell>
          <cell r="F7">
            <v>1.31630194368909</v>
          </cell>
          <cell r="G7">
            <v>3010.64580560568</v>
          </cell>
          <cell r="H7">
            <v>3763.3072570071</v>
          </cell>
        </row>
        <row r="8">
          <cell r="E8" t="str">
            <v>石厦东村</v>
          </cell>
          <cell r="F8">
            <v>1.31311271521663</v>
          </cell>
          <cell r="G8">
            <v>3003.35140224348</v>
          </cell>
          <cell r="H8">
            <v>3754.18925280435</v>
          </cell>
        </row>
        <row r="9">
          <cell r="E9" t="str">
            <v>上沙塘晏村</v>
          </cell>
          <cell r="F9">
            <v>1.31142247447622</v>
          </cell>
          <cell r="G9">
            <v>2999.48548362201</v>
          </cell>
          <cell r="H9">
            <v>3749.35685452751</v>
          </cell>
        </row>
        <row r="10">
          <cell r="E10" t="str">
            <v>沙埔头村&amp;上步祠堂村</v>
          </cell>
          <cell r="F10">
            <v>1.28886848548444</v>
          </cell>
          <cell r="G10">
            <v>2947.9</v>
          </cell>
          <cell r="H10">
            <v>3684.9</v>
          </cell>
        </row>
        <row r="11">
          <cell r="E11" t="str">
            <v>巴登村</v>
          </cell>
          <cell r="F11">
            <v>1.28613492600616</v>
          </cell>
          <cell r="G11">
            <v>2941.64780276129</v>
          </cell>
          <cell r="H11">
            <v>3677.05975345162</v>
          </cell>
        </row>
        <row r="12">
          <cell r="E12" t="str">
            <v>上沙椰树村</v>
          </cell>
          <cell r="F12">
            <v>1.28497985660641</v>
          </cell>
          <cell r="G12">
            <v>2939.00592803019</v>
          </cell>
          <cell r="H12">
            <v>3673.75741003774</v>
          </cell>
        </row>
        <row r="13">
          <cell r="E13" t="str">
            <v>埔尾村</v>
          </cell>
          <cell r="F13">
            <v>1.27955578873732</v>
          </cell>
          <cell r="G13">
            <v>2926.6</v>
          </cell>
          <cell r="H13">
            <v>3658.3</v>
          </cell>
        </row>
        <row r="14">
          <cell r="E14" t="str">
            <v>沙嘴村</v>
          </cell>
          <cell r="F14">
            <v>1.27636411332634</v>
          </cell>
          <cell r="G14">
            <v>2919.3</v>
          </cell>
          <cell r="H14">
            <v>3649.1</v>
          </cell>
        </row>
        <row r="15">
          <cell r="E15" t="str">
            <v>上沙东村</v>
          </cell>
          <cell r="F15">
            <v>1.27123541479419</v>
          </cell>
          <cell r="G15">
            <v>2907.56964071726</v>
          </cell>
          <cell r="H15">
            <v>3634.46205089657</v>
          </cell>
        </row>
        <row r="16">
          <cell r="E16" t="str">
            <v>布尾村</v>
          </cell>
          <cell r="F16">
            <v>1.26932493878979</v>
          </cell>
          <cell r="G16">
            <v>2903.2</v>
          </cell>
          <cell r="H16">
            <v>3629.1</v>
          </cell>
        </row>
        <row r="17">
          <cell r="E17" t="str">
            <v>石厦西村</v>
          </cell>
          <cell r="F17">
            <v>1.2592046053338</v>
          </cell>
          <cell r="G17">
            <v>2880.05277331946</v>
          </cell>
          <cell r="H17">
            <v>3600.06596664933</v>
          </cell>
        </row>
        <row r="18">
          <cell r="E18" t="str">
            <v>上梅林新村</v>
          </cell>
          <cell r="F18">
            <v>1.23691674555898</v>
          </cell>
          <cell r="G18">
            <v>2829.07598044249</v>
          </cell>
          <cell r="H18">
            <v>3536.34497555311</v>
          </cell>
        </row>
        <row r="19">
          <cell r="E19" t="str">
            <v>新兴村</v>
          </cell>
          <cell r="F19">
            <v>1.21697885704112</v>
          </cell>
          <cell r="G19">
            <v>2783.47404182446</v>
          </cell>
          <cell r="H19">
            <v>3479.34255228057</v>
          </cell>
        </row>
        <row r="20">
          <cell r="E20" t="str">
            <v>轻铁花园</v>
          </cell>
          <cell r="F20">
            <v>1.21665421571463</v>
          </cell>
          <cell r="G20">
            <v>2782.73152218251</v>
          </cell>
          <cell r="H20">
            <v>3478.41440272814</v>
          </cell>
        </row>
        <row r="21">
          <cell r="E21" t="str">
            <v>荔园村</v>
          </cell>
          <cell r="F21">
            <v>1.21549902813932</v>
          </cell>
          <cell r="G21">
            <v>2780.08937716026</v>
          </cell>
          <cell r="H21">
            <v>3475.11172145032</v>
          </cell>
        </row>
        <row r="22">
          <cell r="E22" t="str">
            <v>31区水口花园</v>
          </cell>
          <cell r="F22">
            <v>1.20483560685554</v>
          </cell>
          <cell r="G22">
            <v>2755.7</v>
          </cell>
          <cell r="H22">
            <v>3302.1</v>
          </cell>
        </row>
        <row r="23">
          <cell r="E23" t="str">
            <v>笋岗村</v>
          </cell>
          <cell r="F23">
            <v>1.20092007895587</v>
          </cell>
          <cell r="G23">
            <v>2746.74440458787</v>
          </cell>
          <cell r="H23">
            <v>3433.43050573484</v>
          </cell>
        </row>
        <row r="24">
          <cell r="E24" t="str">
            <v>劳动二队东区</v>
          </cell>
          <cell r="F24">
            <v>1.19235998145264</v>
          </cell>
          <cell r="G24">
            <v>2727.16574957848</v>
          </cell>
          <cell r="H24">
            <v>3408.9571869731</v>
          </cell>
        </row>
        <row r="25">
          <cell r="E25" t="str">
            <v>麻布新村</v>
          </cell>
          <cell r="F25">
            <v>1.18872576465085</v>
          </cell>
          <cell r="G25">
            <v>2718.85356890942</v>
          </cell>
          <cell r="H25">
            <v>3398.56696113678</v>
          </cell>
        </row>
        <row r="26">
          <cell r="E26" t="str">
            <v>径贝新村</v>
          </cell>
          <cell r="F26">
            <v>1.17072158991061</v>
          </cell>
          <cell r="G26">
            <v>2677.67442044355</v>
          </cell>
          <cell r="H26">
            <v>3347.09302555444</v>
          </cell>
        </row>
        <row r="27">
          <cell r="E27" t="str">
            <v>安乐42区</v>
          </cell>
          <cell r="F27">
            <v>1.12510275713184</v>
          </cell>
          <cell r="G27">
            <v>2573.33502611194</v>
          </cell>
          <cell r="H27">
            <v>3220.18121591023</v>
          </cell>
        </row>
        <row r="28">
          <cell r="E28" t="str">
            <v>永丰八区</v>
          </cell>
          <cell r="F28">
            <v>1.10296432318993</v>
          </cell>
          <cell r="G28">
            <v>2522.7</v>
          </cell>
          <cell r="H28">
            <v>3173.7</v>
          </cell>
        </row>
        <row r="29">
          <cell r="E29" t="str">
            <v>27区裕安新苑/32区上川五片</v>
          </cell>
          <cell r="F29">
            <v>1.08876287723841</v>
          </cell>
          <cell r="G29">
            <v>2490.21845281969</v>
          </cell>
          <cell r="H29">
            <v>3165.40399333884</v>
          </cell>
        </row>
        <row r="30">
          <cell r="E30" t="str">
            <v>湖贝新村</v>
          </cell>
          <cell r="F30">
            <v>1.06841235337561</v>
          </cell>
          <cell r="G30">
            <v>2443.6727346407</v>
          </cell>
          <cell r="H30">
            <v>3133.29292052129</v>
          </cell>
        </row>
        <row r="31">
          <cell r="E31" t="str">
            <v>黄贝岭</v>
          </cell>
          <cell r="F31">
            <v>1.0492022604389</v>
          </cell>
          <cell r="G31">
            <v>2399.73541007585</v>
          </cell>
          <cell r="H31">
            <v>3102.03569943093</v>
          </cell>
        </row>
        <row r="32">
          <cell r="E32" t="str">
            <v>74区布心二村</v>
          </cell>
          <cell r="F32">
            <v>1.00829116555609</v>
          </cell>
          <cell r="G32">
            <v>2306.1635538599</v>
          </cell>
          <cell r="H32">
            <v>3032.4076916371</v>
          </cell>
        </row>
        <row r="33">
          <cell r="E33" t="str">
            <v>白石龙一区</v>
          </cell>
          <cell r="F33">
            <v>1</v>
          </cell>
          <cell r="G33">
            <v>2287.2</v>
          </cell>
          <cell r="H33">
            <v>3014.3</v>
          </cell>
        </row>
        <row r="34">
          <cell r="E34" t="str">
            <v>坳下村</v>
          </cell>
          <cell r="F34">
            <v>0.981132660602208</v>
          </cell>
          <cell r="G34">
            <v>2244.04662132937</v>
          </cell>
          <cell r="H34">
            <v>2983.88536724303</v>
          </cell>
        </row>
        <row r="35">
          <cell r="E35" t="str">
            <v>白石龙二区</v>
          </cell>
          <cell r="F35">
            <v>0.972018188177684</v>
          </cell>
          <cell r="G35">
            <v>2223.2</v>
          </cell>
          <cell r="H35">
            <v>2963.8</v>
          </cell>
        </row>
        <row r="36">
          <cell r="E36" t="str">
            <v>白石龙老村</v>
          </cell>
          <cell r="F36">
            <v>0.962180832458902</v>
          </cell>
          <cell r="G36">
            <v>2200.7</v>
          </cell>
          <cell r="H36">
            <v>2945.6</v>
          </cell>
        </row>
        <row r="37">
          <cell r="E37" t="str">
            <v>流塘旧村</v>
          </cell>
          <cell r="F37">
            <v>0.956037438236512</v>
          </cell>
          <cell r="G37">
            <v>2186.64882873455</v>
          </cell>
          <cell r="H37">
            <v>2937.4176816903</v>
          </cell>
        </row>
        <row r="38">
          <cell r="E38" t="str">
            <v>东泉新村</v>
          </cell>
          <cell r="F38">
            <v>0.939926547743967</v>
          </cell>
          <cell r="G38">
            <v>2149.8</v>
          </cell>
          <cell r="H38">
            <v>2903.4</v>
          </cell>
        </row>
        <row r="39">
          <cell r="E39" t="str">
            <v>逸秀新村</v>
          </cell>
          <cell r="F39">
            <v>0.932756208464498</v>
          </cell>
          <cell r="G39">
            <v>2133.4</v>
          </cell>
          <cell r="H39">
            <v>2889.6</v>
          </cell>
        </row>
        <row r="40">
          <cell r="E40" t="str">
            <v>创业花园</v>
          </cell>
          <cell r="F40">
            <v>0.922319412321804</v>
          </cell>
          <cell r="G40">
            <v>2109.52895986243</v>
          </cell>
          <cell r="H40">
            <v>2869.29868756391</v>
          </cell>
        </row>
        <row r="41">
          <cell r="E41" t="str">
            <v>禾坪岗村</v>
          </cell>
          <cell r="F41">
            <v>0.90971493529206</v>
          </cell>
          <cell r="G41">
            <v>2080.7</v>
          </cell>
          <cell r="H41">
            <v>2851.9</v>
          </cell>
        </row>
        <row r="42">
          <cell r="E42" t="str">
            <v>中心围村</v>
          </cell>
          <cell r="F42">
            <v>0.90731024833858</v>
          </cell>
          <cell r="G42">
            <v>2075.2</v>
          </cell>
          <cell r="H42">
            <v>2847.3</v>
          </cell>
        </row>
        <row r="43">
          <cell r="E43" t="str">
            <v>马蹄山村</v>
          </cell>
          <cell r="F43">
            <v>0.907266526757608</v>
          </cell>
          <cell r="G43">
            <v>2075.1</v>
          </cell>
          <cell r="H43">
            <v>2847.2</v>
          </cell>
        </row>
        <row r="44">
          <cell r="E44" t="str">
            <v>横岭村三区</v>
          </cell>
          <cell r="F44">
            <v>0.881755455796288</v>
          </cell>
          <cell r="G44">
            <v>2016.75107849727</v>
          </cell>
          <cell r="H44">
            <v>2790.68765226871</v>
          </cell>
        </row>
        <row r="45">
          <cell r="E45" t="str">
            <v>塘水围二区</v>
          </cell>
          <cell r="F45">
            <v>0.849641483036027</v>
          </cell>
          <cell r="G45">
            <v>1943.3</v>
          </cell>
          <cell r="H45">
            <v>2720.1</v>
          </cell>
        </row>
        <row r="46">
          <cell r="E46" t="str">
            <v>东边新村</v>
          </cell>
          <cell r="F46">
            <v>0.826294158796782</v>
          </cell>
          <cell r="G46">
            <v>1889.9</v>
          </cell>
          <cell r="H46">
            <v>2669.3</v>
          </cell>
        </row>
        <row r="47">
          <cell r="E47" t="str">
            <v>龙胜村</v>
          </cell>
          <cell r="F47">
            <v>0.816019587268276</v>
          </cell>
          <cell r="G47">
            <v>1866.4</v>
          </cell>
          <cell r="H47">
            <v>2646.53944981253</v>
          </cell>
        </row>
        <row r="48">
          <cell r="E48" t="str">
            <v>后瑞村</v>
          </cell>
          <cell r="F48">
            <v>0.782353969919552</v>
          </cell>
          <cell r="G48">
            <v>1789.4</v>
          </cell>
          <cell r="H48">
            <v>2576.7</v>
          </cell>
        </row>
        <row r="49">
          <cell r="E49" t="str">
            <v>弓村</v>
          </cell>
          <cell r="F49">
            <v>0.774658971668416</v>
          </cell>
          <cell r="G49">
            <v>1771.8</v>
          </cell>
          <cell r="H49">
            <v>2552.2</v>
          </cell>
        </row>
        <row r="50">
          <cell r="E50" t="str">
            <v>赤岭头村</v>
          </cell>
          <cell r="F50">
            <v>0.764296956977964</v>
          </cell>
          <cell r="G50">
            <v>1748.1</v>
          </cell>
          <cell r="H50">
            <v>2528</v>
          </cell>
        </row>
        <row r="51">
          <cell r="E51" t="str">
            <v>元芬新村</v>
          </cell>
          <cell r="F51">
            <v>0.746720881427072</v>
          </cell>
          <cell r="G51">
            <v>1707.9</v>
          </cell>
          <cell r="H51">
            <v>2486.2</v>
          </cell>
        </row>
        <row r="52">
          <cell r="E52" t="str">
            <v>鹊山新村</v>
          </cell>
          <cell r="F52">
            <v>0.743747813920951</v>
          </cell>
          <cell r="G52">
            <v>1701.1</v>
          </cell>
          <cell r="H52">
            <v>2479.02980766755</v>
          </cell>
        </row>
        <row r="53">
          <cell r="E53" t="str">
            <v>兴围村</v>
          </cell>
          <cell r="F53">
            <v>0.714760405736271</v>
          </cell>
          <cell r="G53">
            <v>1634.8</v>
          </cell>
          <cell r="H53">
            <v>2426.1</v>
          </cell>
        </row>
        <row r="54">
          <cell r="E54" t="str">
            <v>下早新村</v>
          </cell>
          <cell r="F54">
            <v>0.71030080447709</v>
          </cell>
          <cell r="G54">
            <v>1624.6</v>
          </cell>
          <cell r="H54">
            <v>2397.1</v>
          </cell>
        </row>
        <row r="55">
          <cell r="E55" t="str">
            <v>福围村</v>
          </cell>
          <cell r="F55">
            <v>0.704835606855544</v>
          </cell>
          <cell r="G55">
            <v>1612.1</v>
          </cell>
          <cell r="H55">
            <v>2402.5</v>
          </cell>
        </row>
        <row r="56">
          <cell r="E56" t="str">
            <v>富联新村</v>
          </cell>
          <cell r="F56">
            <v>0.701840164241046</v>
          </cell>
          <cell r="G56">
            <v>1605.24882365212</v>
          </cell>
          <cell r="H56">
            <v>2378.39151491126</v>
          </cell>
        </row>
        <row r="57">
          <cell r="E57" t="str">
            <v>新和一区/二区</v>
          </cell>
          <cell r="F57">
            <v>0.696965722280518</v>
          </cell>
          <cell r="G57">
            <v>1594.1</v>
          </cell>
          <cell r="H57">
            <v>2402.5</v>
          </cell>
        </row>
        <row r="58">
          <cell r="E58" t="str">
            <v>陶吓新村</v>
          </cell>
          <cell r="F58">
            <v>0.693118223154949</v>
          </cell>
          <cell r="G58">
            <v>1585.3</v>
          </cell>
          <cell r="H58">
            <v>2353.9</v>
          </cell>
        </row>
        <row r="59">
          <cell r="E59" t="str">
            <v>清湖新村</v>
          </cell>
          <cell r="F59">
            <v>0.677662268526574</v>
          </cell>
          <cell r="G59">
            <v>1549.94914057398</v>
          </cell>
          <cell r="H59">
            <v>2316.84502135192</v>
          </cell>
        </row>
        <row r="60">
          <cell r="E60" t="str">
            <v>谭罗华侨新村</v>
          </cell>
          <cell r="F60">
            <v>0.669246239944036</v>
          </cell>
          <cell r="G60">
            <v>1530.7</v>
          </cell>
          <cell r="H60">
            <v>2292.8</v>
          </cell>
        </row>
        <row r="61">
          <cell r="E61" t="str">
            <v>三合新二村</v>
          </cell>
          <cell r="F61">
            <v>0.669178187478323</v>
          </cell>
          <cell r="G61">
            <v>1530.54435040042</v>
          </cell>
          <cell r="H61">
            <v>2292.5691359225</v>
          </cell>
        </row>
        <row r="62">
          <cell r="E62" t="str">
            <v>三合华侨新村</v>
          </cell>
          <cell r="F62">
            <v>0.669027632039175</v>
          </cell>
          <cell r="G62">
            <v>1530.2</v>
          </cell>
          <cell r="H62">
            <v>2292.2</v>
          </cell>
        </row>
        <row r="63">
          <cell r="E63" t="str">
            <v>下横朗新村</v>
          </cell>
          <cell r="F63">
            <v>0.665267576075547</v>
          </cell>
          <cell r="G63">
            <v>1521.59999999999</v>
          </cell>
          <cell r="H63">
            <v>2282.40879518824</v>
          </cell>
        </row>
        <row r="64">
          <cell r="E64" t="str">
            <v>鹤州旧村</v>
          </cell>
          <cell r="F64">
            <v>0.662350711785253</v>
          </cell>
          <cell r="G64">
            <v>1514.92854799523</v>
          </cell>
          <cell r="H64">
            <v>2277.11603383402</v>
          </cell>
        </row>
        <row r="65">
          <cell r="E65" t="str">
            <v>鹤洲东区</v>
          </cell>
          <cell r="F65">
            <v>0.649571528506471</v>
          </cell>
          <cell r="G65">
            <v>1485.7</v>
          </cell>
          <cell r="H65">
            <v>2243.5</v>
          </cell>
        </row>
        <row r="66">
          <cell r="E66" t="str">
            <v>桥南/桥荣/桥头</v>
          </cell>
          <cell r="F66">
            <v>0.647179936816304</v>
          </cell>
          <cell r="G66">
            <v>1480.22995148625</v>
          </cell>
          <cell r="H66">
            <v>2237.17691205664</v>
          </cell>
        </row>
        <row r="67">
          <cell r="E67" t="str">
            <v>应人石</v>
          </cell>
          <cell r="F67">
            <v>0.642536113209676</v>
          </cell>
          <cell r="G67">
            <v>1469.60859813317</v>
          </cell>
          <cell r="H67">
            <v>2224.83692063157</v>
          </cell>
        </row>
        <row r="68">
          <cell r="E68" t="str">
            <v>咸田</v>
          </cell>
          <cell r="F68">
            <v>0.636122560897499</v>
          </cell>
          <cell r="G68">
            <v>1454.93952128476</v>
          </cell>
          <cell r="H68">
            <v>2207.70600163055</v>
          </cell>
        </row>
        <row r="69">
          <cell r="E69" t="str">
            <v>福永新村</v>
          </cell>
          <cell r="F69">
            <v>0.634356418328087</v>
          </cell>
          <cell r="G69">
            <v>1450.9</v>
          </cell>
          <cell r="H69">
            <v>2202.1</v>
          </cell>
        </row>
        <row r="70">
          <cell r="E70" t="str">
            <v>翠岗</v>
          </cell>
          <cell r="F70">
            <v>0.634020062007009</v>
          </cell>
          <cell r="G70">
            <v>1450.13068582243</v>
          </cell>
          <cell r="H70">
            <v>2202.06784249969</v>
          </cell>
        </row>
        <row r="71">
          <cell r="E71" t="str">
            <v>聚福园小区</v>
          </cell>
          <cell r="F71">
            <v>0.62133236429436</v>
          </cell>
          <cell r="G71">
            <v>1421.11138361406</v>
          </cell>
          <cell r="H71">
            <v>2167.8104202485</v>
          </cell>
        </row>
        <row r="72">
          <cell r="E72" t="str">
            <v>鹤州西区</v>
          </cell>
          <cell r="F72">
            <v>0.615789572250284</v>
          </cell>
          <cell r="G72">
            <v>1408.43390965085</v>
          </cell>
          <cell r="H72">
            <v>2152.71886755881</v>
          </cell>
        </row>
        <row r="73">
          <cell r="E73" t="str">
            <v>新和西/新和东</v>
          </cell>
          <cell r="F73">
            <v>0.611253911078056</v>
          </cell>
          <cell r="G73">
            <v>1398.05994541773</v>
          </cell>
          <cell r="H73">
            <v>2140.3125844587</v>
          </cell>
        </row>
        <row r="74">
          <cell r="E74" t="str">
            <v>鹤洲新村</v>
          </cell>
          <cell r="F74">
            <v>0.608539650063965</v>
          </cell>
          <cell r="G74">
            <v>1391.8518876263</v>
          </cell>
          <cell r="H74">
            <v>2132.86384682774</v>
          </cell>
        </row>
        <row r="75">
          <cell r="E75" t="str">
            <v>龙腾阁（望牛亭)</v>
          </cell>
          <cell r="F75">
            <v>0.605050576870746</v>
          </cell>
          <cell r="G75">
            <v>1383.87167941877</v>
          </cell>
          <cell r="H75">
            <v>2123.26186286188</v>
          </cell>
        </row>
        <row r="76">
          <cell r="E76" t="str">
            <v>马山小区</v>
          </cell>
          <cell r="F76">
            <v>0.601958726827562</v>
          </cell>
          <cell r="G76">
            <v>1376.8</v>
          </cell>
          <cell r="H76">
            <v>2133.5</v>
          </cell>
        </row>
        <row r="77">
          <cell r="E77" t="str">
            <v>石龙头村</v>
          </cell>
          <cell r="F77">
            <v>0.595608836505019</v>
          </cell>
          <cell r="G77">
            <v>1362.27653085428</v>
          </cell>
          <cell r="H77">
            <v>2097.12612819244</v>
          </cell>
        </row>
        <row r="78">
          <cell r="E78" t="str">
            <v>新和三区、华达村</v>
          </cell>
          <cell r="F78">
            <v>0.59378697258054</v>
          </cell>
          <cell r="G78">
            <v>1358.10956368621</v>
          </cell>
          <cell r="H78">
            <v>2092.05748213154</v>
          </cell>
        </row>
        <row r="79">
          <cell r="E79" t="str">
            <v>芳华</v>
          </cell>
          <cell r="F79">
            <v>0.58838130875557</v>
          </cell>
          <cell r="G79">
            <v>1345.74572938574</v>
          </cell>
          <cell r="H79">
            <v>2076.96965590494</v>
          </cell>
        </row>
        <row r="80">
          <cell r="E80" t="str">
            <v>裕华园</v>
          </cell>
          <cell r="F80">
            <v>0.588261679084759</v>
          </cell>
          <cell r="G80">
            <v>1345.47211240266</v>
          </cell>
          <cell r="H80">
            <v>2076.63493332796</v>
          </cell>
        </row>
        <row r="81">
          <cell r="E81" t="str">
            <v>罗租村</v>
          </cell>
          <cell r="F81">
            <v>0.586107720141435</v>
          </cell>
          <cell r="G81">
            <v>1340.54557750749</v>
          </cell>
          <cell r="H81">
            <v>2070.60208488804</v>
          </cell>
        </row>
        <row r="82">
          <cell r="E82" t="str">
            <v>福海路小区</v>
          </cell>
          <cell r="F82">
            <v>0.578759138916461</v>
          </cell>
          <cell r="G82">
            <v>1323.73790252973</v>
          </cell>
          <cell r="H82">
            <v>2049.93315061735</v>
          </cell>
        </row>
        <row r="83">
          <cell r="E83" t="str">
            <v>塘尾村</v>
          </cell>
          <cell r="F83">
            <v>0.576512766701644</v>
          </cell>
          <cell r="G83">
            <v>1318.6</v>
          </cell>
          <cell r="H83">
            <v>2043.6</v>
          </cell>
        </row>
        <row r="84">
          <cell r="E84" t="str">
            <v>大万新村</v>
          </cell>
          <cell r="F84">
            <v>0.549465661715993</v>
          </cell>
          <cell r="G84">
            <v>1256.73786147682</v>
          </cell>
          <cell r="H84">
            <v>1966.20544806873</v>
          </cell>
        </row>
        <row r="85">
          <cell r="E85" t="str">
            <v>后亭村</v>
          </cell>
          <cell r="F85">
            <v>0.53397166841553</v>
          </cell>
          <cell r="G85">
            <v>1221.3</v>
          </cell>
          <cell r="H85">
            <v>1941.9</v>
          </cell>
        </row>
        <row r="86">
          <cell r="E86" t="str">
            <v>同益新村西</v>
          </cell>
          <cell r="F86">
            <v>0.523588433312028</v>
          </cell>
          <cell r="G86">
            <v>1197.55146467127</v>
          </cell>
          <cell r="H86">
            <v>1890.46573020537</v>
          </cell>
        </row>
        <row r="87">
          <cell r="E87" t="str">
            <v>瓦窑头</v>
          </cell>
          <cell r="F87">
            <v>0.514471843301854</v>
          </cell>
          <cell r="G87">
            <v>1176.7</v>
          </cell>
          <cell r="H87">
            <v>1750.7</v>
          </cell>
        </row>
        <row r="88">
          <cell r="E88" t="str">
            <v>和顺新村/玻璃围</v>
          </cell>
          <cell r="F88">
            <v>0.505272057499537</v>
          </cell>
          <cell r="G88">
            <v>1155.65824991294</v>
          </cell>
          <cell r="H88">
            <v>1835.84854072861</v>
          </cell>
        </row>
        <row r="89">
          <cell r="E89" t="str">
            <v>东方二街</v>
          </cell>
          <cell r="F89">
            <v>0.426154249737671</v>
          </cell>
          <cell r="G89">
            <v>974.7</v>
          </cell>
          <cell r="H89">
            <v>1610.2</v>
          </cell>
        </row>
        <row r="90">
          <cell r="E90" t="str">
            <v>洪田</v>
          </cell>
          <cell r="F90">
            <v>0.40133671681602</v>
          </cell>
          <cell r="G90">
            <v>917.9373387016</v>
          </cell>
          <cell r="H90">
            <v>1510.1154822756</v>
          </cell>
        </row>
        <row r="91">
          <cell r="E91" t="str">
            <v>塘下涌</v>
          </cell>
          <cell r="F91">
            <v>0.376272838168991</v>
          </cell>
          <cell r="G91">
            <v>860.611235460115</v>
          </cell>
          <cell r="H91">
            <v>1427.5422150838</v>
          </cell>
        </row>
        <row r="93">
          <cell r="E93" t="str">
            <v>桔子村芬桔&amp;芬龙</v>
          </cell>
        </row>
        <row r="93">
          <cell r="G93">
            <v>1721.69339079472</v>
          </cell>
          <cell r="H93">
            <v>2503.23310118557</v>
          </cell>
        </row>
        <row r="94">
          <cell r="E94" t="str">
            <v>大芬村</v>
          </cell>
        </row>
        <row r="94">
          <cell r="G94">
            <v>1726.43324272785</v>
          </cell>
          <cell r="H94">
            <v>2508.17812600685</v>
          </cell>
        </row>
        <row r="95">
          <cell r="E95" t="str">
            <v>桔子村山顶</v>
          </cell>
        </row>
        <row r="95">
          <cell r="G95">
            <v>1621.90202905353</v>
          </cell>
          <cell r="H95">
            <v>2396.64089889533</v>
          </cell>
        </row>
        <row r="96">
          <cell r="E96" t="str">
            <v>海乐社区39区</v>
          </cell>
        </row>
        <row r="96">
          <cell r="G96">
            <v>2497.83789890995</v>
          </cell>
          <cell r="H96">
            <v>3122.29737363743</v>
          </cell>
        </row>
        <row r="97">
          <cell r="E97" t="str">
            <v>岭下花园</v>
          </cell>
        </row>
        <row r="97">
          <cell r="G97">
            <v>2248.3637029213</v>
          </cell>
          <cell r="H97">
            <v>2987.31698594607</v>
          </cell>
        </row>
        <row r="98">
          <cell r="E98" t="str">
            <v>红湾新村</v>
          </cell>
        </row>
        <row r="98">
          <cell r="G98">
            <v>1755.8</v>
          </cell>
          <cell r="H98">
            <v>2538.5</v>
          </cell>
        </row>
        <row r="99">
          <cell r="E99" t="str">
            <v>高树围新村</v>
          </cell>
        </row>
        <row r="99">
          <cell r="G99">
            <v>2194.2</v>
          </cell>
          <cell r="H99">
            <v>2943.6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topLeftCell="A5" workbookViewId="0">
      <selection activeCell="L20" sqref="L20"/>
    </sheetView>
  </sheetViews>
  <sheetFormatPr defaultColWidth="9" defaultRowHeight="13.8" outlineLevelCol="5"/>
  <cols>
    <col min="2" max="2" width="10.0833333333333" customWidth="1"/>
    <col min="3" max="3" width="14.4166666666667" style="317" customWidth="1"/>
    <col min="4" max="4" width="42.6666666666667" style="318" customWidth="1"/>
    <col min="5" max="5" width="13" hidden="1" customWidth="1"/>
    <col min="6" max="6" width="18.6666666666667" style="317" customWidth="1"/>
  </cols>
  <sheetData>
    <row r="1" ht="14.55"/>
    <row r="2" ht="21.75" customHeight="1" spans="2:6">
      <c r="B2" s="319" t="s">
        <v>0</v>
      </c>
      <c r="C2" s="320" t="s">
        <v>1</v>
      </c>
      <c r="D2" s="321" t="s">
        <v>2</v>
      </c>
      <c r="E2" s="321" t="s">
        <v>3</v>
      </c>
      <c r="F2" s="322" t="s">
        <v>4</v>
      </c>
    </row>
    <row r="3" ht="26.25" customHeight="1" spans="2:6">
      <c r="B3" s="323" t="s">
        <v>5</v>
      </c>
      <c r="C3" s="323">
        <v>44036</v>
      </c>
      <c r="D3" s="324" t="s">
        <v>6</v>
      </c>
      <c r="E3" s="323"/>
      <c r="F3" s="323">
        <v>44039</v>
      </c>
    </row>
    <row r="4" ht="53.25" customHeight="1" spans="2:6">
      <c r="B4" s="323" t="s">
        <v>7</v>
      </c>
      <c r="C4" s="323">
        <v>44056</v>
      </c>
      <c r="D4" s="324" t="s">
        <v>8</v>
      </c>
      <c r="E4" s="323" t="s">
        <v>9</v>
      </c>
      <c r="F4" s="323">
        <v>44056</v>
      </c>
    </row>
    <row r="5" ht="101.25" customHeight="1" spans="2:6">
      <c r="B5" s="323" t="s">
        <v>10</v>
      </c>
      <c r="C5" s="323">
        <v>44131</v>
      </c>
      <c r="D5" s="324" t="s">
        <v>11</v>
      </c>
      <c r="E5" s="323" t="s">
        <v>12</v>
      </c>
      <c r="F5" s="323">
        <v>44132</v>
      </c>
    </row>
    <row r="6" ht="204" customHeight="1" spans="2:6">
      <c r="B6" s="323" t="s">
        <v>13</v>
      </c>
      <c r="C6" s="323">
        <v>44281</v>
      </c>
      <c r="D6" s="324" t="s">
        <v>14</v>
      </c>
      <c r="E6" s="323"/>
      <c r="F6" s="323">
        <v>44287</v>
      </c>
    </row>
    <row r="7" ht="86" customHeight="1" spans="2:6">
      <c r="B7" s="323" t="s">
        <v>15</v>
      </c>
      <c r="C7" s="323">
        <v>44670</v>
      </c>
      <c r="D7" s="324" t="s">
        <v>16</v>
      </c>
      <c r="E7" s="323"/>
      <c r="F7" s="323">
        <v>44670</v>
      </c>
    </row>
    <row r="8" ht="98" customHeight="1" spans="2:6">
      <c r="B8" s="323" t="s">
        <v>17</v>
      </c>
      <c r="C8" s="323">
        <v>45127</v>
      </c>
      <c r="D8" s="324" t="s">
        <v>18</v>
      </c>
      <c r="E8" s="323"/>
      <c r="F8" s="323">
        <v>45127</v>
      </c>
    </row>
    <row r="9" ht="14.55" spans="2:6">
      <c r="B9" s="323" t="s">
        <v>19</v>
      </c>
      <c r="C9" s="323">
        <v>45468</v>
      </c>
      <c r="D9" s="325" t="s">
        <v>20</v>
      </c>
      <c r="E9" s="323"/>
      <c r="F9" s="323">
        <v>45468</v>
      </c>
    </row>
    <row r="10" ht="14.55" spans="2:6">
      <c r="B10" s="323" t="s">
        <v>21</v>
      </c>
      <c r="C10" s="323">
        <v>45482</v>
      </c>
      <c r="D10" s="324" t="s">
        <v>22</v>
      </c>
      <c r="E10" s="323"/>
      <c r="F10" s="323">
        <v>45482</v>
      </c>
    </row>
    <row r="11" ht="14.55" spans="2:6">
      <c r="B11" s="323" t="s">
        <v>23</v>
      </c>
      <c r="C11" s="323">
        <v>45483</v>
      </c>
      <c r="D11" s="324" t="s">
        <v>24</v>
      </c>
      <c r="E11" s="323"/>
      <c r="F11" s="32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92"/>
  <sheetViews>
    <sheetView workbookViewId="0">
      <pane xSplit="3" ySplit="1" topLeftCell="J2" activePane="bottomRight" state="frozen"/>
      <selection/>
      <selection pane="topRight"/>
      <selection pane="bottomLeft"/>
      <selection pane="bottomRight" activeCell="L20" sqref="L20"/>
    </sheetView>
  </sheetViews>
  <sheetFormatPr defaultColWidth="9" defaultRowHeight="17.4"/>
  <cols>
    <col min="1" max="1" width="20.75" customWidth="1"/>
    <col min="2" max="2" width="9" customWidth="1"/>
    <col min="3" max="3" width="20.75" style="248" customWidth="1"/>
    <col min="4" max="4" width="29.25" style="249" customWidth="1"/>
    <col min="5" max="5" width="49.25" style="249" customWidth="1"/>
    <col min="6" max="6" width="18.9166666666667" style="250" customWidth="1"/>
    <col min="7" max="7" width="170.5" style="248" customWidth="1"/>
    <col min="8" max="8" width="38.25" style="251" customWidth="1"/>
    <col min="9" max="9" width="7.5" style="132" customWidth="1"/>
    <col min="10" max="10" width="5.16666666666667" customWidth="1"/>
    <col min="11" max="11" width="23.25" style="2" customWidth="1"/>
    <col min="12" max="12" width="22.1666666666667" customWidth="1"/>
    <col min="13" max="13" width="30.75" customWidth="1"/>
    <col min="14" max="14" width="36.1666666666667" customWidth="1"/>
    <col min="15" max="15" width="9.83333333333333" customWidth="1"/>
  </cols>
  <sheetData>
    <row r="1" s="245" customFormat="1" ht="28.2" spans="1:15">
      <c r="A1" s="252"/>
      <c r="B1" s="252" t="s">
        <v>25</v>
      </c>
      <c r="C1" s="252" t="s">
        <v>26</v>
      </c>
      <c r="D1" s="253" t="s">
        <v>27</v>
      </c>
      <c r="E1" s="253" t="s">
        <v>28</v>
      </c>
      <c r="F1" s="254" t="s">
        <v>29</v>
      </c>
      <c r="G1" s="255" t="s">
        <v>30</v>
      </c>
      <c r="H1" s="256"/>
      <c r="I1" s="257"/>
      <c r="K1" s="258"/>
      <c r="L1" s="259" t="s">
        <v>31</v>
      </c>
      <c r="M1" s="259">
        <f>VLOOKUP('【2】运营中心填-基本信息&amp;审核标准'!C2,[1]Sheet1!$E:$G,3,FALSE)</f>
        <v>1612.1</v>
      </c>
      <c r="N1" s="2"/>
    </row>
    <row r="2" spans="1:15">
      <c r="A2" s="260" t="s">
        <v>32</v>
      </c>
      <c r="B2" s="260">
        <v>1</v>
      </c>
      <c r="C2" s="261" t="s">
        <v>33</v>
      </c>
      <c r="D2" s="262" t="s">
        <v>34</v>
      </c>
      <c r="E2" s="262" t="str">
        <f>$C$2&amp;D2</f>
        <v>区位交通很便利</v>
      </c>
      <c r="F2" s="263">
        <v>1.04</v>
      </c>
      <c r="G2" s="264" t="s">
        <v>35</v>
      </c>
      <c r="H2" s="265"/>
      <c r="I2" s="132" t="e">
        <f>J2*#REF!-J2</f>
        <v>#REF!</v>
      </c>
      <c r="J2">
        <v>1350</v>
      </c>
      <c r="L2" s="266" t="s">
        <v>36</v>
      </c>
      <c r="M2" s="266" t="s">
        <v>37</v>
      </c>
    </row>
    <row r="3" spans="1:15">
      <c r="A3" s="267"/>
      <c r="B3" s="267"/>
      <c r="C3" s="261"/>
      <c r="D3" s="262" t="s">
        <v>38</v>
      </c>
      <c r="E3" s="262" t="str">
        <f>$C$2&amp;D3</f>
        <v>区位交通较便利</v>
      </c>
      <c r="F3" s="263">
        <v>1.02</v>
      </c>
      <c r="G3" s="264" t="s">
        <v>39</v>
      </c>
      <c r="H3" s="265"/>
      <c r="I3" s="132" t="e">
        <f>J3*#REF!-J3</f>
        <v>#REF!</v>
      </c>
      <c r="J3">
        <v>1350</v>
      </c>
      <c r="K3" s="2">
        <v>1</v>
      </c>
      <c r="L3" s="268" t="s">
        <v>40</v>
      </c>
      <c r="M3" s="233">
        <f>$M$1*K3</f>
        <v>1612.1</v>
      </c>
    </row>
    <row r="4" spans="1:15">
      <c r="A4" s="267"/>
      <c r="B4" s="267"/>
      <c r="C4" s="261"/>
      <c r="D4" s="262" t="s">
        <v>41</v>
      </c>
      <c r="E4" s="262" t="str">
        <f>$C$2&amp;D4</f>
        <v>区位中心位置</v>
      </c>
      <c r="F4" s="263">
        <v>1</v>
      </c>
      <c r="G4" s="264" t="s">
        <v>42</v>
      </c>
      <c r="H4" s="265"/>
      <c r="I4" s="132">
        <f>J4*F2-J4</f>
        <v>54</v>
      </c>
      <c r="J4">
        <v>1350</v>
      </c>
      <c r="K4" s="2">
        <v>1.5</v>
      </c>
      <c r="L4" s="268" t="s">
        <v>43</v>
      </c>
      <c r="M4" s="233">
        <f>VLOOKUP('【2】运营中心填-基本信息&amp;审核标准'!C2,[1]Sheet1!$E:$H,4,FALSE)</f>
        <v>2402.5</v>
      </c>
    </row>
    <row r="5" spans="1:15">
      <c r="A5" s="267"/>
      <c r="B5" s="267"/>
      <c r="C5" s="261"/>
      <c r="D5" s="262" t="s">
        <v>44</v>
      </c>
      <c r="E5" s="262" t="str">
        <f>$C$2&amp;D5</f>
        <v>区位交通较不便</v>
      </c>
      <c r="F5" s="263">
        <v>0.98</v>
      </c>
      <c r="G5" s="264" t="s">
        <v>45</v>
      </c>
      <c r="H5" s="265"/>
      <c r="I5" s="132">
        <f>J5*F3-J5</f>
        <v>27</v>
      </c>
      <c r="J5">
        <v>1350</v>
      </c>
      <c r="K5" s="2">
        <v>2</v>
      </c>
      <c r="L5" s="269" t="s">
        <v>46</v>
      </c>
      <c r="M5" s="233">
        <f t="shared" ref="M5:M11" si="0">$M$1*K5</f>
        <v>3224.2</v>
      </c>
    </row>
    <row r="6" spans="1:15">
      <c r="A6" s="267"/>
      <c r="B6" s="270"/>
      <c r="C6" s="261"/>
      <c r="D6" s="262" t="s">
        <v>47</v>
      </c>
      <c r="E6" s="262" t="str">
        <f>$C$2&amp;D6</f>
        <v>区位交通很不便</v>
      </c>
      <c r="F6" s="263">
        <v>0.96</v>
      </c>
      <c r="G6" s="264" t="s">
        <v>48</v>
      </c>
      <c r="H6" s="265"/>
      <c r="I6" s="132">
        <v>100</v>
      </c>
      <c r="J6">
        <v>1350</v>
      </c>
      <c r="K6" s="2">
        <v>1</v>
      </c>
      <c r="L6" s="269" t="s">
        <v>49</v>
      </c>
      <c r="M6" s="233">
        <f t="shared" si="0"/>
        <v>1612.1</v>
      </c>
    </row>
    <row r="7" spans="1:15">
      <c r="A7" s="267"/>
      <c r="B7" s="260">
        <v>2</v>
      </c>
      <c r="C7" s="271" t="s">
        <v>50</v>
      </c>
      <c r="D7" s="1" t="s">
        <v>51</v>
      </c>
      <c r="E7" s="1" t="str">
        <f>$C$7&amp;D7</f>
        <v>有无电梯有</v>
      </c>
      <c r="F7" s="263">
        <v>1.05</v>
      </c>
      <c r="G7" s="272" t="s">
        <v>52</v>
      </c>
      <c r="H7" s="273"/>
      <c r="I7" s="132">
        <v>80</v>
      </c>
      <c r="J7">
        <v>1350</v>
      </c>
      <c r="K7" s="2">
        <v>1</v>
      </c>
      <c r="L7" s="269" t="s">
        <v>53</v>
      </c>
      <c r="M7" s="233">
        <f t="shared" si="0"/>
        <v>1612.1</v>
      </c>
    </row>
    <row r="8" spans="1:15">
      <c r="A8" s="270"/>
      <c r="B8" s="270"/>
      <c r="C8" s="271"/>
      <c r="D8" s="1" t="s">
        <v>54</v>
      </c>
      <c r="E8" s="1" t="str">
        <f>$C$7&amp;D8</f>
        <v>有无电梯无</v>
      </c>
      <c r="F8" s="263">
        <v>1</v>
      </c>
      <c r="G8" s="272"/>
      <c r="H8" s="273"/>
      <c r="I8" s="132">
        <f>J8*F6-J8</f>
        <v>-54</v>
      </c>
      <c r="J8">
        <v>1350</v>
      </c>
      <c r="K8" s="2">
        <v>1.5</v>
      </c>
      <c r="L8" s="269" t="s">
        <v>55</v>
      </c>
      <c r="M8" s="233">
        <f>M4</f>
        <v>2402.5</v>
      </c>
    </row>
    <row r="9" spans="1:15">
      <c r="A9" s="274" t="s">
        <v>56</v>
      </c>
      <c r="B9" s="275">
        <v>1</v>
      </c>
      <c r="C9" s="276" t="s">
        <v>57</v>
      </c>
      <c r="D9" s="1" t="s">
        <v>58</v>
      </c>
      <c r="E9" s="1" t="str">
        <f>$C$9&amp;D9</f>
        <v>套内空间很宽敞</v>
      </c>
      <c r="F9" s="263">
        <v>1.1</v>
      </c>
      <c r="G9" s="272" t="s">
        <v>59</v>
      </c>
      <c r="H9" s="273"/>
      <c r="I9" s="132">
        <f>J9*F7-J9</f>
        <v>0</v>
      </c>
      <c r="K9" s="2">
        <v>2</v>
      </c>
      <c r="L9" s="269" t="s">
        <v>60</v>
      </c>
      <c r="M9" s="233">
        <f t="shared" si="0"/>
        <v>3224.2</v>
      </c>
    </row>
    <row r="10" spans="1:15">
      <c r="A10" s="277"/>
      <c r="B10" s="275"/>
      <c r="C10" s="276"/>
      <c r="D10" s="1" t="s">
        <v>61</v>
      </c>
      <c r="E10" s="1" t="str">
        <f>$C$9&amp;D10</f>
        <v>套内空间较宽敞</v>
      </c>
      <c r="F10" s="263">
        <v>1.06</v>
      </c>
      <c r="G10" s="272"/>
      <c r="H10" s="273"/>
      <c r="I10" s="132">
        <f>J10*F8-J10</f>
        <v>0</v>
      </c>
      <c r="K10" s="2">
        <v>2</v>
      </c>
      <c r="L10" s="269" t="s">
        <v>62</v>
      </c>
      <c r="M10" s="233">
        <f t="shared" si="0"/>
        <v>3224.2</v>
      </c>
    </row>
    <row r="11" spans="1:15">
      <c r="A11" s="277"/>
      <c r="B11" s="275"/>
      <c r="C11" s="276"/>
      <c r="D11" s="1" t="s">
        <v>63</v>
      </c>
      <c r="E11" s="1" t="str">
        <f>$C$9&amp;D11</f>
        <v>套内空间适中</v>
      </c>
      <c r="F11" s="263">
        <v>1</v>
      </c>
      <c r="G11" s="272"/>
      <c r="H11" s="273"/>
      <c r="I11" s="132" t="e">
        <f>J11*#REF!-J11</f>
        <v>#REF!</v>
      </c>
      <c r="K11" s="2">
        <v>2</v>
      </c>
      <c r="L11" s="269" t="s">
        <v>64</v>
      </c>
      <c r="M11" s="233">
        <f t="shared" si="0"/>
        <v>3224.2</v>
      </c>
    </row>
    <row r="12" spans="1:15">
      <c r="A12" s="277"/>
      <c r="B12" s="275"/>
      <c r="C12" s="276"/>
      <c r="D12" s="1" t="s">
        <v>65</v>
      </c>
      <c r="E12" s="1" t="str">
        <f>$C$9&amp;D12</f>
        <v>套内空间较狭小</v>
      </c>
      <c r="F12" s="263">
        <v>0.95</v>
      </c>
      <c r="G12" s="272"/>
      <c r="H12" s="273"/>
      <c r="I12" s="132" t="e">
        <f>J12*#REF!-J12</f>
        <v>#REF!</v>
      </c>
      <c r="L12" s="269"/>
      <c r="M12" s="233"/>
    </row>
    <row r="13" ht="32" customHeight="1" spans="1:15">
      <c r="A13" s="277"/>
      <c r="B13" s="275"/>
      <c r="C13" s="276"/>
      <c r="D13" s="1" t="s">
        <v>66</v>
      </c>
      <c r="E13" s="1" t="str">
        <f>$C$9&amp;D13</f>
        <v>套内空间很狭小</v>
      </c>
      <c r="F13" s="263">
        <v>0.9</v>
      </c>
      <c r="G13" s="272"/>
      <c r="H13" s="273"/>
      <c r="I13" s="132" t="e">
        <f>J13*#REF!-J13</f>
        <v>#REF!</v>
      </c>
      <c r="L13" s="269"/>
      <c r="M13" s="13"/>
    </row>
    <row r="14" s="246" customFormat="1" spans="1:15">
      <c r="A14" s="277"/>
      <c r="B14" s="274">
        <v>3</v>
      </c>
      <c r="C14" s="276" t="s">
        <v>67</v>
      </c>
      <c r="D14" s="1"/>
      <c r="E14" s="1"/>
      <c r="F14" s="263"/>
      <c r="G14" s="272"/>
      <c r="H14" s="273"/>
      <c r="I14" s="132" t="e">
        <f>J14*#REF!-J14</f>
        <v>#REF!</v>
      </c>
      <c r="K14" s="278"/>
    </row>
    <row r="15" s="246" customFormat="1" spans="1:15">
      <c r="A15" s="277"/>
      <c r="B15" s="277"/>
      <c r="C15" s="276"/>
      <c r="D15" s="1"/>
      <c r="E15" s="1"/>
      <c r="F15" s="263"/>
      <c r="G15" s="264"/>
      <c r="H15" s="265"/>
      <c r="I15" s="132"/>
      <c r="K15" s="278"/>
    </row>
    <row r="16" s="246" customFormat="1" spans="1:15">
      <c r="A16" s="277"/>
      <c r="B16" s="277"/>
      <c r="C16" s="276"/>
      <c r="D16" s="1" t="s">
        <v>51</v>
      </c>
      <c r="E16" s="1" t="str">
        <f>$C$14&amp;D16</f>
        <v>阳台有</v>
      </c>
      <c r="F16" s="263">
        <v>1.07</v>
      </c>
      <c r="G16" s="264"/>
      <c r="H16" s="265"/>
      <c r="I16" s="132"/>
      <c r="K16" s="279" t="s">
        <v>68</v>
      </c>
      <c r="L16" s="280" t="s">
        <v>69</v>
      </c>
      <c r="M16" s="280" t="s">
        <v>70</v>
      </c>
      <c r="N16" s="280" t="s">
        <v>71</v>
      </c>
      <c r="O16" s="280" t="s">
        <v>72</v>
      </c>
    </row>
    <row r="17" ht="24" customHeight="1" spans="1:15">
      <c r="A17" s="277"/>
      <c r="B17" s="277"/>
      <c r="C17" s="276"/>
      <c r="D17" s="1"/>
      <c r="E17" s="1"/>
      <c r="F17" s="263"/>
      <c r="G17" s="264"/>
      <c r="H17" s="265"/>
      <c r="I17" s="132">
        <f>J17*F9-J17</f>
        <v>135</v>
      </c>
      <c r="J17">
        <v>1350</v>
      </c>
      <c r="K17" s="281" t="s">
        <v>58</v>
      </c>
      <c r="L17" s="282" t="s">
        <v>73</v>
      </c>
      <c r="M17" s="282" t="s">
        <v>74</v>
      </c>
      <c r="N17" s="282" t="s">
        <v>75</v>
      </c>
      <c r="O17" s="282" t="s">
        <v>76</v>
      </c>
    </row>
    <row r="18" ht="24" customHeight="1" spans="1:15">
      <c r="A18" s="277"/>
      <c r="B18" s="283"/>
      <c r="C18" s="276"/>
      <c r="D18" s="1" t="s">
        <v>54</v>
      </c>
      <c r="E18" s="1" t="str">
        <f>$C$14&amp;D18</f>
        <v>阳台无</v>
      </c>
      <c r="F18" s="263">
        <v>1</v>
      </c>
      <c r="G18" s="264"/>
      <c r="H18" s="265"/>
      <c r="I18" s="132">
        <f>J18*F10-J18</f>
        <v>81</v>
      </c>
      <c r="J18">
        <v>1350</v>
      </c>
      <c r="K18" s="281" t="s">
        <v>61</v>
      </c>
      <c r="L18" s="282" t="s">
        <v>77</v>
      </c>
      <c r="M18" s="282" t="s">
        <v>78</v>
      </c>
      <c r="N18" s="282" t="s">
        <v>79</v>
      </c>
      <c r="O18" s="282" t="s">
        <v>80</v>
      </c>
    </row>
    <row r="19" ht="24" customHeight="1" spans="1:15">
      <c r="A19" s="277"/>
      <c r="B19" s="274">
        <v>4</v>
      </c>
      <c r="C19" s="276" t="s">
        <v>81</v>
      </c>
      <c r="D19" s="1" t="s">
        <v>54</v>
      </c>
      <c r="E19" s="1" t="str">
        <f>$C$19&amp;D19</f>
        <v>楼梯房楼层无</v>
      </c>
      <c r="F19" s="263">
        <v>1</v>
      </c>
      <c r="G19" s="272" t="s">
        <v>82</v>
      </c>
      <c r="H19" s="273"/>
      <c r="I19" s="132">
        <f>J19*F11-J19</f>
        <v>0</v>
      </c>
      <c r="J19">
        <v>1350</v>
      </c>
      <c r="K19" s="281" t="s">
        <v>63</v>
      </c>
      <c r="L19" s="282" t="s">
        <v>83</v>
      </c>
      <c r="M19" s="282" t="s">
        <v>84</v>
      </c>
      <c r="N19" s="282" t="s">
        <v>85</v>
      </c>
      <c r="O19" s="282" t="s">
        <v>86</v>
      </c>
    </row>
    <row r="20" ht="24" customHeight="1" spans="1:15">
      <c r="A20" s="277"/>
      <c r="B20" s="277"/>
      <c r="C20" s="276"/>
      <c r="D20" s="1" t="s">
        <v>87</v>
      </c>
      <c r="E20" s="1" t="str">
        <f>$C$19&amp;D20</f>
        <v>楼梯房楼层1F</v>
      </c>
      <c r="F20" s="263">
        <v>0.91</v>
      </c>
      <c r="G20" s="272"/>
      <c r="H20" s="273"/>
      <c r="I20" s="132">
        <f>J20*F12-J20</f>
        <v>-67.5</v>
      </c>
      <c r="J20">
        <v>1350</v>
      </c>
      <c r="K20" s="281" t="s">
        <v>65</v>
      </c>
      <c r="L20" s="282" t="s">
        <v>88</v>
      </c>
      <c r="M20" s="282" t="s">
        <v>89</v>
      </c>
      <c r="N20" s="282" t="s">
        <v>90</v>
      </c>
      <c r="O20" s="282" t="s">
        <v>91</v>
      </c>
    </row>
    <row r="21" ht="24" customHeight="1" spans="1:15">
      <c r="A21" s="277"/>
      <c r="B21" s="277"/>
      <c r="C21" s="276"/>
      <c r="D21" s="1" t="s">
        <v>92</v>
      </c>
      <c r="E21" s="1" t="str">
        <f t="shared" ref="E21:E28" si="1">$C$19&amp;D21</f>
        <v>楼梯房楼层2F</v>
      </c>
      <c r="F21" s="263">
        <v>1.02</v>
      </c>
      <c r="G21" s="272"/>
      <c r="H21" s="273"/>
      <c r="I21" s="132">
        <f>J21*F13-J21</f>
        <v>-135</v>
      </c>
      <c r="J21">
        <v>1350</v>
      </c>
      <c r="K21" s="281" t="s">
        <v>66</v>
      </c>
      <c r="L21" s="282" t="s">
        <v>93</v>
      </c>
      <c r="M21" s="282" t="s">
        <v>94</v>
      </c>
      <c r="N21" s="282" t="s">
        <v>95</v>
      </c>
      <c r="O21" s="282" t="s">
        <v>96</v>
      </c>
    </row>
    <row r="22" spans="1:15">
      <c r="A22" s="277"/>
      <c r="B22" s="277"/>
      <c r="C22" s="276"/>
      <c r="D22" s="1" t="s">
        <v>97</v>
      </c>
      <c r="E22" s="1" t="str">
        <f t="shared" si="1"/>
        <v>楼梯房楼层3F</v>
      </c>
      <c r="F22" s="263">
        <v>1.01</v>
      </c>
      <c r="G22" s="272"/>
      <c r="H22" s="273"/>
      <c r="I22" s="132" t="e">
        <f>J22*#REF!-J22</f>
        <v>#REF!</v>
      </c>
      <c r="J22">
        <v>1350</v>
      </c>
    </row>
    <row r="23" ht="18" customHeight="1" spans="1:15">
      <c r="A23" s="277"/>
      <c r="B23" s="277"/>
      <c r="C23" s="276"/>
      <c r="D23" s="1" t="s">
        <v>98</v>
      </c>
      <c r="E23" s="1" t="str">
        <f t="shared" si="1"/>
        <v>楼梯房楼层4F</v>
      </c>
      <c r="F23" s="263">
        <v>1</v>
      </c>
      <c r="G23" s="272"/>
      <c r="H23" s="273"/>
      <c r="I23" s="132" t="e">
        <f>J23*#REF!-J23</f>
        <v>#REF!</v>
      </c>
      <c r="J23">
        <v>1350</v>
      </c>
    </row>
    <row r="24" spans="1:15">
      <c r="A24" s="277"/>
      <c r="B24" s="277"/>
      <c r="C24" s="276"/>
      <c r="D24" s="1" t="s">
        <v>99</v>
      </c>
      <c r="E24" s="1" t="str">
        <f t="shared" si="1"/>
        <v>楼梯房楼层5F</v>
      </c>
      <c r="F24" s="263">
        <v>0.99</v>
      </c>
      <c r="G24" s="272"/>
      <c r="H24" s="273"/>
      <c r="I24" s="132" t="e">
        <f>J24*#REF!-J24</f>
        <v>#REF!</v>
      </c>
      <c r="J24">
        <v>1350</v>
      </c>
    </row>
    <row r="25" spans="1:15">
      <c r="A25" s="277"/>
      <c r="B25" s="277"/>
      <c r="C25" s="276"/>
      <c r="D25" s="1" t="s">
        <v>100</v>
      </c>
      <c r="E25" s="1" t="str">
        <f t="shared" si="1"/>
        <v>楼梯房楼层6F</v>
      </c>
      <c r="F25" s="263">
        <v>0.98</v>
      </c>
      <c r="G25" s="272"/>
      <c r="H25" s="273"/>
      <c r="I25" s="132" t="e">
        <f>J25*#REF!-J25</f>
        <v>#REF!</v>
      </c>
      <c r="J25">
        <v>1350</v>
      </c>
    </row>
    <row r="26" spans="1:15">
      <c r="A26" s="277"/>
      <c r="B26" s="277"/>
      <c r="C26" s="276"/>
      <c r="D26" s="1" t="s">
        <v>101</v>
      </c>
      <c r="E26" s="1" t="str">
        <f t="shared" si="1"/>
        <v>楼梯房楼层7F</v>
      </c>
      <c r="F26" s="263">
        <v>0.96</v>
      </c>
      <c r="G26" s="272"/>
      <c r="H26" s="273"/>
      <c r="I26" s="132" t="e">
        <f>J26*#REF!-J26</f>
        <v>#REF!</v>
      </c>
      <c r="J26">
        <v>1350</v>
      </c>
    </row>
    <row r="27" spans="1:15">
      <c r="A27" s="277"/>
      <c r="B27" s="277"/>
      <c r="C27" s="276"/>
      <c r="D27" s="284" t="s">
        <v>102</v>
      </c>
      <c r="E27" s="284" t="str">
        <f t="shared" si="1"/>
        <v>楼梯房楼层8F</v>
      </c>
      <c r="F27" s="285">
        <v>0.93</v>
      </c>
      <c r="G27" s="272"/>
      <c r="H27" s="273"/>
      <c r="I27" s="132">
        <f>J27*F14-J27</f>
        <v>-1350</v>
      </c>
      <c r="J27">
        <v>1350</v>
      </c>
    </row>
    <row r="28" spans="1:15">
      <c r="A28" s="277"/>
      <c r="B28" s="283"/>
      <c r="C28" s="276"/>
      <c r="D28" s="284" t="s">
        <v>103</v>
      </c>
      <c r="E28" s="284" t="str">
        <f t="shared" si="1"/>
        <v>楼梯房楼层9F</v>
      </c>
      <c r="F28" s="285">
        <v>0.9</v>
      </c>
      <c r="G28" s="272"/>
      <c r="H28" s="273"/>
      <c r="I28" s="132">
        <f t="shared" ref="I28:I29" si="2">J28*F15-J28</f>
        <v>-1350</v>
      </c>
      <c r="J28">
        <v>1350</v>
      </c>
    </row>
    <row r="29" spans="1:15">
      <c r="A29" s="277"/>
      <c r="B29" s="274">
        <v>5</v>
      </c>
      <c r="C29" s="286" t="s">
        <v>104</v>
      </c>
      <c r="D29" s="1" t="s">
        <v>54</v>
      </c>
      <c r="E29" s="1" t="str">
        <f t="shared" ref="E29:E37" si="3">$C$29&amp;D29</f>
        <v>电梯房楼层无</v>
      </c>
      <c r="F29" s="263">
        <v>1</v>
      </c>
      <c r="G29" s="272"/>
      <c r="H29" s="273"/>
      <c r="I29" s="132">
        <f t="shared" si="2"/>
        <v>94.5</v>
      </c>
      <c r="J29">
        <v>1350</v>
      </c>
      <c r="K29" s="287"/>
    </row>
    <row r="30" spans="1:15">
      <c r="A30" s="277"/>
      <c r="B30" s="277"/>
      <c r="C30" s="288"/>
      <c r="D30" s="1" t="s">
        <v>87</v>
      </c>
      <c r="E30" s="1" t="str">
        <f t="shared" si="3"/>
        <v>电梯房楼层1F</v>
      </c>
      <c r="F30" s="263">
        <v>0.87</v>
      </c>
      <c r="G30" s="272" t="s">
        <v>82</v>
      </c>
      <c r="H30" s="273"/>
    </row>
    <row r="31" spans="1:15">
      <c r="A31" s="277"/>
      <c r="B31" s="277"/>
      <c r="C31" s="288"/>
      <c r="D31" s="1" t="s">
        <v>105</v>
      </c>
      <c r="E31" s="1" t="str">
        <f t="shared" si="3"/>
        <v>电梯房楼层2-3F</v>
      </c>
      <c r="F31" s="263">
        <v>0.99</v>
      </c>
      <c r="G31" s="272"/>
      <c r="H31" s="273"/>
      <c r="I31" s="132">
        <f>J31*F18-J31</f>
        <v>0</v>
      </c>
    </row>
    <row r="32" spans="1:15">
      <c r="A32" s="277"/>
      <c r="B32" s="277"/>
      <c r="C32" s="288"/>
      <c r="D32" s="1" t="s">
        <v>98</v>
      </c>
      <c r="E32" s="1" t="str">
        <f t="shared" si="3"/>
        <v>电梯房楼层4F</v>
      </c>
      <c r="F32" s="263">
        <v>1</v>
      </c>
      <c r="G32" s="272"/>
      <c r="H32" s="273"/>
      <c r="I32" s="132">
        <f t="shared" ref="I32" si="4">1325*F19-1325</f>
        <v>0</v>
      </c>
    </row>
    <row r="33" spans="1:9">
      <c r="A33" s="277"/>
      <c r="B33" s="277"/>
      <c r="C33" s="288"/>
      <c r="D33" s="1" t="s">
        <v>106</v>
      </c>
      <c r="E33" s="1" t="str">
        <f t="shared" si="3"/>
        <v>电梯房楼层5-6F</v>
      </c>
      <c r="F33" s="263">
        <v>1.01</v>
      </c>
      <c r="G33" s="272"/>
      <c r="H33" s="273"/>
    </row>
    <row r="34" spans="1:9">
      <c r="A34" s="277"/>
      <c r="B34" s="277"/>
      <c r="C34" s="288"/>
      <c r="D34" s="1" t="s">
        <v>107</v>
      </c>
      <c r="E34" s="1" t="str">
        <f t="shared" si="3"/>
        <v>电梯房楼层7-8F</v>
      </c>
      <c r="F34" s="263">
        <v>1.02</v>
      </c>
      <c r="G34" s="272"/>
      <c r="H34" s="273"/>
      <c r="I34" s="132">
        <f>1325*F21-1325</f>
        <v>26.5</v>
      </c>
    </row>
    <row r="35" spans="1:9">
      <c r="A35" s="277"/>
      <c r="B35" s="277"/>
      <c r="C35" s="288"/>
      <c r="D35" s="1" t="s">
        <v>108</v>
      </c>
      <c r="E35" s="1" t="str">
        <f t="shared" si="3"/>
        <v>电梯房楼层9-10F</v>
      </c>
      <c r="F35" s="263">
        <v>1.03</v>
      </c>
      <c r="G35" s="272"/>
      <c r="H35" s="273"/>
      <c r="I35" s="132">
        <f>1325*F22-1325</f>
        <v>13.25</v>
      </c>
    </row>
    <row r="36" spans="1:9">
      <c r="A36" s="277"/>
      <c r="B36" s="277"/>
      <c r="C36" s="288"/>
      <c r="D36" s="1" t="s">
        <v>109</v>
      </c>
      <c r="E36" s="1" t="str">
        <f t="shared" si="3"/>
        <v>电梯房楼层11-12F</v>
      </c>
      <c r="F36" s="263">
        <v>1.04</v>
      </c>
      <c r="G36" s="272"/>
      <c r="H36" s="273"/>
      <c r="I36" s="132">
        <f>1325*F23-1325</f>
        <v>0</v>
      </c>
    </row>
    <row r="37" spans="1:9">
      <c r="A37" s="277"/>
      <c r="B37" s="283"/>
      <c r="C37" s="289"/>
      <c r="D37" s="1" t="s">
        <v>110</v>
      </c>
      <c r="E37" s="1" t="str">
        <f t="shared" si="3"/>
        <v>电梯房楼层13以上F</v>
      </c>
      <c r="F37" s="263">
        <v>1.05</v>
      </c>
      <c r="G37" s="272"/>
      <c r="H37" s="273"/>
      <c r="I37" s="132">
        <f>1325*F24-1325</f>
        <v>-13.25</v>
      </c>
    </row>
    <row r="38" ht="26" customHeight="1" spans="1:9">
      <c r="A38" s="277"/>
      <c r="B38" s="277">
        <v>6</v>
      </c>
      <c r="C38" s="288" t="s">
        <v>111</v>
      </c>
      <c r="D38" s="1" t="s">
        <v>112</v>
      </c>
      <c r="E38" s="1" t="str">
        <f t="shared" ref="E38:E44" si="5">$C$38&amp;D38</f>
        <v>功能配置（开间）缺失</v>
      </c>
      <c r="F38" s="263">
        <v>0.93</v>
      </c>
      <c r="G38" s="272"/>
      <c r="H38" s="273"/>
    </row>
    <row r="39" spans="1:9">
      <c r="A39" s="277"/>
      <c r="B39" s="277"/>
      <c r="C39" s="288"/>
      <c r="D39" s="1" t="s">
        <v>113</v>
      </c>
      <c r="E39" s="1" t="str">
        <f t="shared" si="5"/>
        <v>功能配置（开间）缺失（书桌）</v>
      </c>
      <c r="F39" s="263">
        <v>0.98</v>
      </c>
      <c r="G39" s="272"/>
      <c r="H39" s="273"/>
      <c r="I39" s="132">
        <f>1325*F25-1325</f>
        <v>-26.5</v>
      </c>
    </row>
    <row r="40" spans="1:9">
      <c r="A40" s="277"/>
      <c r="B40" s="277"/>
      <c r="C40" s="288"/>
      <c r="D40" s="1" t="s">
        <v>114</v>
      </c>
      <c r="E40" s="1" t="str">
        <f t="shared" si="5"/>
        <v>功能配置（开间）缺失（操作台）</v>
      </c>
      <c r="F40" s="263">
        <v>0.96</v>
      </c>
      <c r="G40" s="272"/>
      <c r="H40" s="273"/>
      <c r="I40" s="132">
        <f>1325*F26-1325</f>
        <v>-53</v>
      </c>
    </row>
    <row r="41" spans="1:9">
      <c r="A41" s="277"/>
      <c r="B41" s="277"/>
      <c r="C41" s="288"/>
      <c r="D41" s="1" t="s">
        <v>63</v>
      </c>
      <c r="E41" s="1" t="str">
        <f t="shared" si="5"/>
        <v>功能配置（开间）适中</v>
      </c>
      <c r="F41" s="263">
        <v>1</v>
      </c>
      <c r="G41" s="264"/>
      <c r="H41" s="265"/>
      <c r="I41" s="132">
        <f>1325*F27-1325</f>
        <v>-92.75</v>
      </c>
    </row>
    <row r="42" spans="1:9">
      <c r="A42" s="277"/>
      <c r="B42" s="277"/>
      <c r="C42" s="288"/>
      <c r="D42" s="1" t="s">
        <v>115</v>
      </c>
      <c r="E42" s="1" t="str">
        <f t="shared" si="5"/>
        <v>功能配置（开间）充足（油烟机/沙发）</v>
      </c>
      <c r="F42" s="263">
        <v>1.04</v>
      </c>
      <c r="G42" s="264"/>
      <c r="H42" s="265"/>
      <c r="I42" s="132">
        <f>1325*F28-1325</f>
        <v>-132.5</v>
      </c>
    </row>
    <row r="43" spans="1:9">
      <c r="A43" s="277"/>
      <c r="B43" s="277"/>
      <c r="C43" s="288"/>
      <c r="D43" s="1" t="s">
        <v>116</v>
      </c>
      <c r="E43" s="1" t="str">
        <f t="shared" si="5"/>
        <v>功能配置（开间）充足（单人沙发/餐桌椅）</v>
      </c>
      <c r="F43" s="263">
        <v>1.03</v>
      </c>
      <c r="G43" s="264"/>
      <c r="H43" s="265"/>
    </row>
    <row r="44" spans="1:9">
      <c r="A44" s="277"/>
      <c r="B44" s="283"/>
      <c r="C44" s="289"/>
      <c r="D44" s="1" t="s">
        <v>117</v>
      </c>
      <c r="E44" s="1" t="str">
        <f t="shared" si="5"/>
        <v>功能配置（开间）非常充足</v>
      </c>
      <c r="F44" s="263">
        <v>1.06</v>
      </c>
      <c r="G44" s="264"/>
      <c r="H44" s="265"/>
      <c r="I44" s="132">
        <f>1325*F30-1325</f>
        <v>-172.25</v>
      </c>
    </row>
    <row r="45" hidden="1" spans="1:9">
      <c r="A45" s="277"/>
      <c r="B45" s="274">
        <v>7</v>
      </c>
      <c r="C45" s="276" t="s">
        <v>118</v>
      </c>
      <c r="D45" s="1"/>
      <c r="E45" s="1"/>
      <c r="F45" s="263"/>
      <c r="G45" s="264"/>
      <c r="H45" s="265"/>
      <c r="I45" s="132">
        <f>1325*F31-1325</f>
        <v>-13.25</v>
      </c>
    </row>
    <row r="46" spans="1:9">
      <c r="A46" s="277"/>
      <c r="B46" s="277"/>
      <c r="C46" s="276"/>
      <c r="D46" s="284">
        <v>5</v>
      </c>
      <c r="E46" s="284" t="str">
        <f>$C$45&amp;D46</f>
        <v>采光5</v>
      </c>
      <c r="F46" s="285">
        <v>1.06</v>
      </c>
      <c r="G46" s="290" t="s">
        <v>119</v>
      </c>
      <c r="H46" s="291"/>
    </row>
    <row r="47" spans="1:9">
      <c r="A47" s="277"/>
      <c r="B47" s="277"/>
      <c r="C47" s="276"/>
      <c r="D47" s="284">
        <v>4</v>
      </c>
      <c r="E47" s="284" t="str">
        <f>$C$45&amp;D47</f>
        <v>采光4</v>
      </c>
      <c r="F47" s="285">
        <v>1.03</v>
      </c>
      <c r="G47" s="290"/>
      <c r="H47" s="292"/>
    </row>
    <row r="48" spans="1:9">
      <c r="A48" s="277"/>
      <c r="B48" s="277"/>
      <c r="C48" s="276"/>
      <c r="D48" s="1">
        <v>3</v>
      </c>
      <c r="E48" s="1" t="str">
        <f>$C$45&amp;D48</f>
        <v>采光3</v>
      </c>
      <c r="F48" s="263">
        <v>1</v>
      </c>
      <c r="G48" s="293"/>
      <c r="H48" s="291"/>
      <c r="I48" s="132">
        <f>1325*F34-1325</f>
        <v>26.5</v>
      </c>
    </row>
    <row r="49" spans="1:14">
      <c r="A49" s="277"/>
      <c r="B49" s="277"/>
      <c r="C49" s="276"/>
      <c r="D49" s="1">
        <v>2</v>
      </c>
      <c r="E49" s="1" t="str">
        <f>$C$45&amp;D49</f>
        <v>采光2</v>
      </c>
      <c r="F49" s="263">
        <v>0.96</v>
      </c>
      <c r="G49" s="290"/>
      <c r="H49" s="292"/>
      <c r="I49" s="132">
        <f t="shared" ref="I49:I50" si="6">1325*F35-1325</f>
        <v>39.75</v>
      </c>
    </row>
    <row r="50" spans="1:14">
      <c r="A50" s="277"/>
      <c r="B50" s="277"/>
      <c r="C50" s="276"/>
      <c r="D50" s="1">
        <v>1</v>
      </c>
      <c r="E50" s="1" t="str">
        <f>$C$45&amp;D50</f>
        <v>采光1</v>
      </c>
      <c r="F50" s="263">
        <v>0.91</v>
      </c>
      <c r="G50" s="293"/>
      <c r="H50" s="292"/>
      <c r="I50" s="132">
        <f t="shared" si="6"/>
        <v>53</v>
      </c>
      <c r="L50" s="247"/>
      <c r="M50" s="247"/>
      <c r="N50" s="247"/>
    </row>
    <row r="51" ht="18.15" spans="1:14">
      <c r="A51" s="277"/>
      <c r="B51" s="277">
        <v>8</v>
      </c>
      <c r="C51" s="294" t="s">
        <v>120</v>
      </c>
      <c r="D51" s="1" t="s">
        <v>112</v>
      </c>
      <c r="E51" s="290" t="str">
        <f t="shared" ref="E51:E57" si="7">$C$51&amp;D51</f>
        <v>功能配置（一居）缺失</v>
      </c>
      <c r="F51" s="263">
        <v>0.93</v>
      </c>
      <c r="G51" s="293"/>
      <c r="H51" s="292"/>
      <c r="L51" s="247"/>
      <c r="M51" s="247"/>
      <c r="N51" s="247"/>
    </row>
    <row r="52" ht="35.55" spans="1:14">
      <c r="A52" s="277"/>
      <c r="B52" s="277"/>
      <c r="C52" s="295"/>
      <c r="D52" s="290" t="s">
        <v>121</v>
      </c>
      <c r="E52" s="290" t="str">
        <f t="shared" si="7"/>
        <v>功能配置（一居）缺失（操作台/双人沙发）</v>
      </c>
      <c r="F52" s="263">
        <v>0.96</v>
      </c>
      <c r="G52" s="290"/>
      <c r="H52" s="290"/>
      <c r="K52" s="296" t="s">
        <v>122</v>
      </c>
      <c r="L52" s="297" t="s">
        <v>123</v>
      </c>
      <c r="M52" s="297" t="s">
        <v>71</v>
      </c>
      <c r="N52" s="298" t="s">
        <v>72</v>
      </c>
    </row>
    <row r="53" ht="35" customHeight="1" spans="1:14">
      <c r="A53" s="277"/>
      <c r="B53" s="277"/>
      <c r="C53" s="295"/>
      <c r="D53" s="290" t="s">
        <v>124</v>
      </c>
      <c r="E53" s="290" t="str">
        <f t="shared" si="7"/>
        <v>功能配置（一居）缺失（餐桌）</v>
      </c>
      <c r="F53" s="263">
        <v>0.98</v>
      </c>
      <c r="G53" s="290"/>
      <c r="H53" s="290"/>
      <c r="I53" s="132">
        <f>J53*F39-J53</f>
        <v>-27</v>
      </c>
      <c r="J53">
        <v>1350</v>
      </c>
      <c r="K53" s="299" t="s">
        <v>112</v>
      </c>
      <c r="L53" s="300" t="s">
        <v>125</v>
      </c>
      <c r="M53" s="301" t="s">
        <v>126</v>
      </c>
      <c r="N53" s="302" t="s">
        <v>127</v>
      </c>
    </row>
    <row r="54" ht="35" customHeight="1" spans="1:14">
      <c r="A54" s="277"/>
      <c r="B54" s="277"/>
      <c r="C54" s="295"/>
      <c r="D54" s="290" t="s">
        <v>63</v>
      </c>
      <c r="E54" s="290" t="str">
        <f t="shared" si="7"/>
        <v>功能配置（一居）适中</v>
      </c>
      <c r="F54" s="263">
        <v>1</v>
      </c>
      <c r="G54" s="290"/>
      <c r="H54" s="290"/>
      <c r="K54" s="299" t="s">
        <v>63</v>
      </c>
      <c r="L54" s="301" t="s">
        <v>128</v>
      </c>
      <c r="M54" s="301" t="s">
        <v>129</v>
      </c>
      <c r="N54" s="302" t="s">
        <v>130</v>
      </c>
    </row>
    <row r="55" ht="35" customHeight="1" spans="1:14">
      <c r="A55" s="277"/>
      <c r="B55" s="277"/>
      <c r="C55" s="295"/>
      <c r="D55" s="290" t="s">
        <v>131</v>
      </c>
      <c r="E55" s="290" t="str">
        <f t="shared" si="7"/>
        <v>功能配置（一居）充配（书桌）</v>
      </c>
      <c r="F55" s="263">
        <v>1.02</v>
      </c>
      <c r="G55" s="290"/>
      <c r="H55" s="290"/>
      <c r="I55" s="132">
        <f>J55*F41-J55</f>
        <v>0</v>
      </c>
      <c r="J55">
        <v>1350</v>
      </c>
      <c r="K55" s="299" t="s">
        <v>132</v>
      </c>
      <c r="L55" s="303" t="s">
        <v>133</v>
      </c>
      <c r="M55" s="303" t="s">
        <v>134</v>
      </c>
      <c r="N55" s="304" t="s">
        <v>135</v>
      </c>
    </row>
    <row r="56" ht="38.25" customHeight="1" spans="1:14">
      <c r="A56" s="277"/>
      <c r="B56" s="277"/>
      <c r="C56" s="295"/>
      <c r="D56" s="290" t="s">
        <v>136</v>
      </c>
      <c r="E56" s="290" t="str">
        <f t="shared" si="7"/>
        <v>功能配置（一居）充配（油烟机）</v>
      </c>
      <c r="F56" s="263">
        <v>1.04</v>
      </c>
      <c r="G56" s="290"/>
      <c r="H56" s="290"/>
      <c r="I56" s="132">
        <f>J56*F42-J56</f>
        <v>54</v>
      </c>
      <c r="J56">
        <v>1350</v>
      </c>
      <c r="K56" s="299" t="s">
        <v>117</v>
      </c>
      <c r="L56" s="303" t="s">
        <v>137</v>
      </c>
      <c r="M56" s="303" t="s">
        <v>138</v>
      </c>
      <c r="N56" s="304" t="s">
        <v>139</v>
      </c>
    </row>
    <row r="57" ht="38.25" customHeight="1" spans="1:14">
      <c r="A57" s="277"/>
      <c r="B57" s="283"/>
      <c r="C57" s="305"/>
      <c r="D57" s="290" t="s">
        <v>140</v>
      </c>
      <c r="E57" s="290" t="str">
        <f t="shared" si="7"/>
        <v>功能配置（一居）非常充配</v>
      </c>
      <c r="F57" s="263">
        <v>1.06</v>
      </c>
      <c r="G57" s="290"/>
      <c r="H57" s="290"/>
    </row>
    <row r="58" ht="38.25" customHeight="1" spans="1:14">
      <c r="A58" s="277"/>
      <c r="B58" s="306">
        <v>9</v>
      </c>
      <c r="C58" s="294" t="s">
        <v>141</v>
      </c>
      <c r="D58" s="1" t="s">
        <v>112</v>
      </c>
      <c r="E58" s="290" t="str">
        <f t="shared" ref="E58:E63" si="8">$C$58&amp;D58</f>
        <v>功能配置（二居）缺失</v>
      </c>
      <c r="F58" s="307">
        <v>0.93</v>
      </c>
      <c r="G58" s="290"/>
      <c r="H58" s="290"/>
    </row>
    <row r="59" ht="38.25" customHeight="1" spans="1:14">
      <c r="A59" s="277"/>
      <c r="B59" s="306"/>
      <c r="C59" s="295"/>
      <c r="D59" s="290" t="s">
        <v>142</v>
      </c>
      <c r="E59" s="290" t="str">
        <f t="shared" si="8"/>
        <v>功能配置（二居）缺失（沙发/餐桌）</v>
      </c>
      <c r="F59" s="307">
        <v>0.96</v>
      </c>
      <c r="G59" s="290"/>
      <c r="H59" s="290"/>
    </row>
    <row r="60" ht="38.25" customHeight="1" spans="1:14">
      <c r="A60" s="277"/>
      <c r="B60" s="306"/>
      <c r="C60" s="295"/>
      <c r="D60" s="290" t="s">
        <v>143</v>
      </c>
      <c r="E60" s="290" t="str">
        <f t="shared" si="8"/>
        <v>功能配置（二居）缺失（电视柜/操作台）</v>
      </c>
      <c r="F60" s="307">
        <v>0.98</v>
      </c>
      <c r="G60" s="290"/>
      <c r="H60" s="290"/>
    </row>
    <row r="61" ht="38.25" customHeight="1" spans="1:14">
      <c r="A61" s="277"/>
      <c r="B61" s="306"/>
      <c r="C61" s="295"/>
      <c r="D61" s="290" t="s">
        <v>63</v>
      </c>
      <c r="E61" s="290" t="str">
        <f t="shared" si="8"/>
        <v>功能配置（二居）适中</v>
      </c>
      <c r="F61" s="307">
        <v>1</v>
      </c>
      <c r="G61" s="290"/>
      <c r="H61" s="290"/>
    </row>
    <row r="62" ht="38.25" customHeight="1" spans="1:14">
      <c r="A62" s="277"/>
      <c r="B62" s="306"/>
      <c r="C62" s="295"/>
      <c r="D62" s="290" t="s">
        <v>144</v>
      </c>
      <c r="E62" s="290" t="str">
        <f t="shared" si="8"/>
        <v>功能配置（二居）充配（油烟机/冰箱）</v>
      </c>
      <c r="F62" s="307">
        <v>1.04</v>
      </c>
      <c r="G62" s="290"/>
      <c r="H62" s="290"/>
    </row>
    <row r="63" ht="38.25" customHeight="1" spans="1:14">
      <c r="A63" s="277"/>
      <c r="B63" s="306"/>
      <c r="C63" s="305"/>
      <c r="D63" s="290" t="s">
        <v>140</v>
      </c>
      <c r="E63" s="290" t="str">
        <f t="shared" si="8"/>
        <v>功能配置（二居）非常充配</v>
      </c>
      <c r="F63" s="307">
        <v>1.06</v>
      </c>
      <c r="G63" s="290"/>
      <c r="H63" s="290"/>
    </row>
    <row r="64" ht="42" customHeight="1" spans="1:14">
      <c r="A64" s="308"/>
      <c r="C64" s="309" t="s">
        <v>145</v>
      </c>
      <c r="D64" s="310" t="s">
        <v>146</v>
      </c>
      <c r="E64" s="310"/>
      <c r="F64" s="311">
        <v>1</v>
      </c>
      <c r="G64" s="309"/>
      <c r="H64" s="312" t="s">
        <v>147</v>
      </c>
    </row>
    <row r="65" ht="21" customHeight="1" spans="1:14">
      <c r="A65" s="308"/>
      <c r="C65" s="309"/>
      <c r="D65" s="310" t="s">
        <v>148</v>
      </c>
      <c r="E65" s="310"/>
      <c r="F65" s="311">
        <v>0.975</v>
      </c>
      <c r="G65" s="309"/>
      <c r="H65" s="312" t="s">
        <v>147</v>
      </c>
      <c r="I65" s="132">
        <f>J65*F45-J65</f>
        <v>-1350</v>
      </c>
      <c r="J65">
        <v>1350</v>
      </c>
    </row>
    <row r="66" ht="22.25" customHeight="1" spans="1:14">
      <c r="A66" s="308"/>
      <c r="C66" s="309"/>
      <c r="D66" s="310" t="s">
        <v>149</v>
      </c>
      <c r="E66" s="310"/>
      <c r="F66" s="311">
        <v>0.95</v>
      </c>
      <c r="G66" s="309"/>
      <c r="H66" s="312" t="s">
        <v>147</v>
      </c>
      <c r="I66" s="132">
        <f>J66*F46-J66</f>
        <v>81</v>
      </c>
      <c r="J66">
        <v>1350</v>
      </c>
    </row>
    <row r="67" ht="26" customHeight="1" spans="1:14">
      <c r="A67" s="308"/>
      <c r="C67" s="309"/>
      <c r="D67" s="310" t="s">
        <v>150</v>
      </c>
      <c r="E67" s="310"/>
      <c r="F67" s="311">
        <v>0.91</v>
      </c>
      <c r="G67" s="309"/>
      <c r="H67" s="312" t="s">
        <v>147</v>
      </c>
      <c r="I67" s="132">
        <f t="shared" ref="I67:I69" si="9">J67*F47-J67</f>
        <v>40.5</v>
      </c>
      <c r="J67">
        <v>1350</v>
      </c>
    </row>
    <row r="68" ht="32.4" spans="1:14">
      <c r="A68" s="308"/>
      <c r="C68" s="309" t="s">
        <v>151</v>
      </c>
      <c r="D68" s="310" t="s">
        <v>152</v>
      </c>
      <c r="E68" s="310"/>
      <c r="F68" s="311">
        <v>1.045</v>
      </c>
      <c r="G68" s="309" t="s">
        <v>153</v>
      </c>
      <c r="H68" s="312" t="s">
        <v>147</v>
      </c>
      <c r="I68" s="132">
        <f t="shared" si="9"/>
        <v>0</v>
      </c>
      <c r="J68">
        <v>1350</v>
      </c>
    </row>
    <row r="69" ht="32.4" spans="1:14">
      <c r="A69" s="308"/>
      <c r="C69" s="309"/>
      <c r="D69" s="310" t="s">
        <v>154</v>
      </c>
      <c r="E69" s="310"/>
      <c r="F69" s="311">
        <v>1.02</v>
      </c>
      <c r="G69" s="309" t="s">
        <v>155</v>
      </c>
      <c r="H69" s="312" t="s">
        <v>147</v>
      </c>
      <c r="I69" s="132">
        <f t="shared" si="9"/>
        <v>-54</v>
      </c>
      <c r="J69">
        <v>1350</v>
      </c>
      <c r="K69" s="313"/>
      <c r="L69" s="247"/>
      <c r="M69" s="247"/>
      <c r="N69" s="247"/>
    </row>
    <row r="70" ht="32.4" spans="1:14">
      <c r="A70" s="308"/>
      <c r="C70" s="309"/>
      <c r="D70" s="310" t="s">
        <v>63</v>
      </c>
      <c r="E70" s="310"/>
      <c r="F70" s="311">
        <v>1</v>
      </c>
      <c r="G70" s="309" t="s">
        <v>156</v>
      </c>
      <c r="H70" s="312" t="s">
        <v>147</v>
      </c>
      <c r="K70" s="313"/>
      <c r="L70" s="247"/>
      <c r="M70" s="247"/>
      <c r="N70" s="247"/>
    </row>
    <row r="71" s="247" customFormat="1" ht="32.4" spans="1:14">
      <c r="A71" s="308"/>
      <c r="B71"/>
      <c r="C71" s="309"/>
      <c r="D71" s="310" t="s">
        <v>157</v>
      </c>
      <c r="E71" s="310"/>
      <c r="F71" s="311">
        <v>0.95</v>
      </c>
      <c r="G71" s="309" t="s">
        <v>158</v>
      </c>
      <c r="H71" s="312" t="s">
        <v>147</v>
      </c>
      <c r="I71" s="314">
        <f>J71*F52-J71</f>
        <v>-58</v>
      </c>
      <c r="J71" s="247">
        <v>1450</v>
      </c>
      <c r="K71" s="313"/>
    </row>
    <row r="72" s="247" customFormat="1" ht="23" customHeight="1" spans="1:14">
      <c r="A72" s="308"/>
      <c r="B72"/>
      <c r="C72" s="309" t="s">
        <v>159</v>
      </c>
      <c r="D72" s="310" t="s">
        <v>54</v>
      </c>
      <c r="E72" s="310"/>
      <c r="F72" s="311">
        <v>1</v>
      </c>
      <c r="G72" s="315" t="s">
        <v>160</v>
      </c>
      <c r="H72" s="312" t="s">
        <v>147</v>
      </c>
      <c r="I72" s="314">
        <f>J72*F53-J72</f>
        <v>-29</v>
      </c>
      <c r="J72" s="247">
        <v>1450</v>
      </c>
      <c r="K72" s="313"/>
    </row>
    <row r="73" s="247" customFormat="1" ht="25" customHeight="1" spans="1:14">
      <c r="A73" s="308"/>
      <c r="B73"/>
      <c r="C73" s="309"/>
      <c r="D73" s="310" t="s">
        <v>161</v>
      </c>
      <c r="E73" s="310"/>
      <c r="F73" s="311">
        <v>0.975</v>
      </c>
      <c r="G73" s="315"/>
      <c r="H73" s="312" t="s">
        <v>147</v>
      </c>
      <c r="I73" s="314">
        <f>J73*F54-J73</f>
        <v>0</v>
      </c>
      <c r="J73" s="247">
        <v>1450</v>
      </c>
      <c r="K73" s="313"/>
    </row>
    <row r="74" s="247" customFormat="1" ht="25" customHeight="1" spans="1:14">
      <c r="A74" s="308"/>
      <c r="B74"/>
      <c r="C74" s="309"/>
      <c r="D74" s="310" t="s">
        <v>162</v>
      </c>
      <c r="E74" s="310"/>
      <c r="F74" s="311">
        <v>0.95</v>
      </c>
      <c r="G74" s="315"/>
      <c r="H74" s="312" t="s">
        <v>147</v>
      </c>
      <c r="I74" s="314"/>
      <c r="K74" s="313"/>
    </row>
    <row r="75" s="247" customFormat="1" ht="25" customHeight="1" spans="1:14">
      <c r="A75" s="308"/>
      <c r="B75"/>
      <c r="C75" s="309"/>
      <c r="D75" s="310" t="s">
        <v>163</v>
      </c>
      <c r="E75" s="310"/>
      <c r="F75" s="311">
        <v>0.91</v>
      </c>
      <c r="G75" s="315"/>
      <c r="H75" s="312" t="s">
        <v>147</v>
      </c>
      <c r="I75" s="314"/>
      <c r="K75" s="2"/>
      <c r="L75"/>
      <c r="M75"/>
      <c r="N75"/>
    </row>
    <row r="76" s="247" customFormat="1" ht="25" customHeight="1" spans="1:14">
      <c r="A76" s="316"/>
      <c r="B76"/>
      <c r="C76" s="309" t="s">
        <v>164</v>
      </c>
      <c r="D76" s="310" t="s">
        <v>54</v>
      </c>
      <c r="E76" s="310"/>
      <c r="F76" s="311">
        <v>1</v>
      </c>
      <c r="G76" s="315" t="s">
        <v>165</v>
      </c>
      <c r="H76" s="312" t="s">
        <v>147</v>
      </c>
      <c r="I76" s="314">
        <f>J76*F57-J76</f>
        <v>180</v>
      </c>
      <c r="J76" s="247">
        <v>3000</v>
      </c>
      <c r="K76" s="2"/>
      <c r="L76"/>
      <c r="M76"/>
      <c r="N76"/>
    </row>
    <row r="77" spans="1:14">
      <c r="C77" s="309"/>
      <c r="D77" s="310" t="s">
        <v>161</v>
      </c>
      <c r="E77" s="310"/>
      <c r="F77" s="311">
        <v>0.975</v>
      </c>
      <c r="G77" s="315"/>
      <c r="H77" s="312" t="s">
        <v>147</v>
      </c>
    </row>
    <row r="78" spans="1:14">
      <c r="C78" s="309"/>
      <c r="D78" s="310" t="s">
        <v>162</v>
      </c>
      <c r="E78" s="310"/>
      <c r="F78" s="311">
        <v>0.945</v>
      </c>
      <c r="G78" s="315"/>
      <c r="H78" s="312" t="s">
        <v>147</v>
      </c>
    </row>
    <row r="79" spans="1:14">
      <c r="C79" s="309"/>
      <c r="D79" s="310" t="s">
        <v>163</v>
      </c>
      <c r="E79" s="310"/>
      <c r="F79" s="311">
        <v>0.9</v>
      </c>
      <c r="G79" s="315"/>
      <c r="H79" s="312" t="s">
        <v>147</v>
      </c>
    </row>
    <row r="85" spans="9:9">
      <c r="I85" s="132">
        <f t="shared" ref="I85:I92" si="10">J85*F72-J85</f>
        <v>0</v>
      </c>
    </row>
    <row r="86" spans="9:9">
      <c r="I86" s="132">
        <f t="shared" si="10"/>
        <v>0</v>
      </c>
    </row>
    <row r="87" spans="9:9">
      <c r="I87" s="132">
        <f t="shared" si="10"/>
        <v>0</v>
      </c>
    </row>
    <row r="88" spans="9:9">
      <c r="I88" s="132">
        <f t="shared" si="10"/>
        <v>0</v>
      </c>
    </row>
    <row r="89" spans="9:9">
      <c r="I89" s="132">
        <f t="shared" si="10"/>
        <v>0</v>
      </c>
    </row>
    <row r="90" spans="9:9">
      <c r="I90" s="132">
        <f t="shared" si="10"/>
        <v>0</v>
      </c>
    </row>
    <row r="91" spans="9:9">
      <c r="I91" s="132">
        <f t="shared" si="10"/>
        <v>0</v>
      </c>
    </row>
    <row r="92" spans="9:9">
      <c r="I92" s="132">
        <f t="shared" si="10"/>
        <v>0</v>
      </c>
    </row>
  </sheetData>
  <mergeCells count="32">
    <mergeCell ref="A2:A8"/>
    <mergeCell ref="A9:A57"/>
    <mergeCell ref="B2:B6"/>
    <mergeCell ref="B7:B8"/>
    <mergeCell ref="B9:B13"/>
    <mergeCell ref="B14:B18"/>
    <mergeCell ref="B19:B28"/>
    <mergeCell ref="B29:B37"/>
    <mergeCell ref="B38:B44"/>
    <mergeCell ref="B45:B50"/>
    <mergeCell ref="B51:B57"/>
    <mergeCell ref="B58:B63"/>
    <mergeCell ref="C2:C6"/>
    <mergeCell ref="C7:C8"/>
    <mergeCell ref="C9:C13"/>
    <mergeCell ref="C14:C18"/>
    <mergeCell ref="C19:C28"/>
    <mergeCell ref="C29:C37"/>
    <mergeCell ref="C38:C44"/>
    <mergeCell ref="C45:C50"/>
    <mergeCell ref="C51:C57"/>
    <mergeCell ref="C58:C63"/>
    <mergeCell ref="C64:C67"/>
    <mergeCell ref="C68:C71"/>
    <mergeCell ref="C72:C75"/>
    <mergeCell ref="C76:C79"/>
    <mergeCell ref="G7:G8"/>
    <mergeCell ref="G9:G13"/>
    <mergeCell ref="G19:G28"/>
    <mergeCell ref="G30:G37"/>
    <mergeCell ref="G72:G75"/>
    <mergeCell ref="G76:G79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88"/>
  <sheetViews>
    <sheetView workbookViewId="0">
      <selection activeCell="L20" sqref="L20"/>
    </sheetView>
  </sheetViews>
  <sheetFormatPr defaultColWidth="11" defaultRowHeight="13.8" outlineLevelCol="2"/>
  <cols>
    <col min="1" max="1" width="16" customWidth="1"/>
    <col min="2" max="3" width="8.75" customWidth="1"/>
  </cols>
  <sheetData>
    <row r="1" ht="15.6" spans="1:3">
      <c r="A1" s="236" t="s">
        <v>166</v>
      </c>
      <c r="B1" s="237" t="s">
        <v>40</v>
      </c>
      <c r="C1" s="237" t="s">
        <v>43</v>
      </c>
    </row>
    <row r="2" ht="16.2" spans="1:3">
      <c r="A2" s="238" t="s">
        <v>167</v>
      </c>
      <c r="B2" s="239">
        <v>2075.1</v>
      </c>
      <c r="C2" s="239">
        <v>2847.2</v>
      </c>
    </row>
    <row r="3" ht="16.2" spans="1:3">
      <c r="A3" s="238" t="s">
        <v>168</v>
      </c>
      <c r="B3" s="239">
        <v>2080.7</v>
      </c>
      <c r="C3" s="239">
        <v>2851.9</v>
      </c>
    </row>
    <row r="4" ht="16.2" spans="1:3">
      <c r="A4" s="238" t="s">
        <v>169</v>
      </c>
      <c r="B4" s="239">
        <v>2075.2</v>
      </c>
      <c r="C4" s="239">
        <v>2847.3</v>
      </c>
    </row>
    <row r="5" ht="16.2" spans="1:3">
      <c r="A5" s="240" t="s">
        <v>170</v>
      </c>
      <c r="B5" s="239">
        <v>2200.7</v>
      </c>
      <c r="C5" s="239">
        <v>2945.6</v>
      </c>
    </row>
    <row r="6" ht="16.2" spans="1:3">
      <c r="A6" s="238" t="s">
        <v>171</v>
      </c>
      <c r="B6" s="239">
        <v>1889.9</v>
      </c>
      <c r="C6" s="239">
        <v>2669.3</v>
      </c>
    </row>
    <row r="7" ht="16.2" spans="1:3">
      <c r="A7" s="238" t="s">
        <v>172</v>
      </c>
      <c r="B7" s="239">
        <v>1585.3</v>
      </c>
      <c r="C7" s="239">
        <v>2353.9</v>
      </c>
    </row>
    <row r="8" ht="16.2" spans="1:3">
      <c r="A8" s="238" t="s">
        <v>173</v>
      </c>
      <c r="B8" s="239">
        <v>1707.9</v>
      </c>
      <c r="C8" s="239">
        <v>2486.2</v>
      </c>
    </row>
    <row r="9" ht="16.2" spans="1:3">
      <c r="A9" s="238" t="s">
        <v>174</v>
      </c>
      <c r="B9" s="239">
        <v>1943.3</v>
      </c>
      <c r="C9" s="239">
        <v>2720.1</v>
      </c>
    </row>
    <row r="10" ht="16.2" spans="1:3">
      <c r="A10" s="238" t="s">
        <v>175</v>
      </c>
      <c r="B10" s="239">
        <v>1530.2</v>
      </c>
      <c r="C10" s="239">
        <v>2292.2</v>
      </c>
    </row>
    <row r="11" ht="16.2" spans="1:3">
      <c r="A11" s="238" t="s">
        <v>176</v>
      </c>
      <c r="B11" s="239">
        <v>1530.7</v>
      </c>
      <c r="C11" s="239">
        <v>2292.8</v>
      </c>
    </row>
    <row r="12" ht="16.2" spans="1:3">
      <c r="A12" s="238" t="s">
        <v>177</v>
      </c>
      <c r="B12" s="239">
        <v>1624.6</v>
      </c>
      <c r="C12" s="239">
        <v>2397.1</v>
      </c>
    </row>
    <row r="13" ht="16.2" spans="1:3">
      <c r="A13" s="238" t="s">
        <v>178</v>
      </c>
      <c r="B13" s="239">
        <v>1748.1</v>
      </c>
      <c r="C13" s="239">
        <v>2528</v>
      </c>
    </row>
    <row r="14" ht="16.2" spans="1:3">
      <c r="A14" s="238" t="s">
        <v>179</v>
      </c>
      <c r="B14" s="239">
        <v>1771.8</v>
      </c>
      <c r="C14" s="239">
        <v>2552.2</v>
      </c>
    </row>
    <row r="15" ht="16.2" spans="1:3">
      <c r="A15" s="238" t="s">
        <v>180</v>
      </c>
      <c r="B15" s="239">
        <v>2149.8</v>
      </c>
      <c r="C15" s="239">
        <v>2903.4</v>
      </c>
    </row>
    <row r="16" ht="16.2" spans="1:3">
      <c r="A16" s="238" t="s">
        <v>181</v>
      </c>
      <c r="B16" s="239">
        <v>2133.4</v>
      </c>
      <c r="C16" s="239">
        <v>2889.6</v>
      </c>
    </row>
    <row r="17" ht="16.2" spans="1:3">
      <c r="A17" s="238" t="s">
        <v>182</v>
      </c>
      <c r="B17" s="239">
        <v>2287.2</v>
      </c>
      <c r="C17" s="239">
        <v>3014.3</v>
      </c>
    </row>
    <row r="18" ht="16.2" spans="1:3">
      <c r="A18" s="238" t="s">
        <v>183</v>
      </c>
      <c r="B18" s="239">
        <v>2223.2</v>
      </c>
      <c r="C18" s="239">
        <v>2963.8</v>
      </c>
    </row>
    <row r="19" ht="16.2" spans="1:3">
      <c r="A19" s="238" t="s">
        <v>184</v>
      </c>
      <c r="B19" s="239">
        <v>1612.1</v>
      </c>
      <c r="C19" s="239">
        <v>2402.5</v>
      </c>
    </row>
    <row r="20" ht="16.2" spans="1:3">
      <c r="A20" s="238" t="s">
        <v>185</v>
      </c>
      <c r="B20" s="239">
        <v>1594.1</v>
      </c>
      <c r="C20" s="239">
        <v>2402.5</v>
      </c>
    </row>
    <row r="21" ht="16.2" spans="1:3">
      <c r="A21" s="238" t="s">
        <v>186</v>
      </c>
      <c r="B21" s="239">
        <v>1594.1</v>
      </c>
      <c r="C21" s="239">
        <v>2402.5</v>
      </c>
    </row>
    <row r="22" ht="16.2" spans="1:3">
      <c r="A22" s="238" t="s">
        <v>187</v>
      </c>
      <c r="B22" s="239">
        <v>2755.7</v>
      </c>
      <c r="C22" s="239">
        <v>3302.1</v>
      </c>
    </row>
    <row r="23" ht="16.2" spans="1:3">
      <c r="A23" s="238" t="s">
        <v>188</v>
      </c>
      <c r="B23" s="239">
        <v>1221.3</v>
      </c>
      <c r="C23" s="239">
        <v>1941.9</v>
      </c>
    </row>
    <row r="24" ht="16.2" spans="1:3">
      <c r="A24" s="238" t="s">
        <v>189</v>
      </c>
      <c r="B24" s="239">
        <v>1634.8</v>
      </c>
      <c r="C24" s="239">
        <v>2426.1</v>
      </c>
    </row>
    <row r="25" ht="16.2" spans="1:3">
      <c r="A25" s="238" t="s">
        <v>190</v>
      </c>
      <c r="B25" s="239">
        <v>1376.8</v>
      </c>
      <c r="C25" s="239">
        <v>2133.5</v>
      </c>
    </row>
    <row r="26" ht="16.2" spans="1:3">
      <c r="A26" s="241" t="s">
        <v>191</v>
      </c>
      <c r="B26" s="242">
        <v>974.7</v>
      </c>
      <c r="C26" s="242">
        <v>1610.2</v>
      </c>
    </row>
    <row r="27" ht="16.2" spans="1:3">
      <c r="A27" s="238" t="s">
        <v>192</v>
      </c>
      <c r="B27" s="239">
        <v>2522.7</v>
      </c>
      <c r="C27" s="239">
        <v>3173.7</v>
      </c>
    </row>
    <row r="28" ht="16.2" spans="1:3">
      <c r="A28" s="238" t="s">
        <v>193</v>
      </c>
      <c r="B28" s="239">
        <v>1176.7</v>
      </c>
      <c r="C28" s="239">
        <v>1750.7</v>
      </c>
    </row>
    <row r="29" ht="16.2" spans="1:3">
      <c r="A29" s="238" t="s">
        <v>194</v>
      </c>
      <c r="B29" s="239">
        <v>1450.9</v>
      </c>
      <c r="C29" s="239">
        <v>2202.1</v>
      </c>
    </row>
    <row r="30" ht="16.2" spans="1:3">
      <c r="A30" s="241" t="s">
        <v>195</v>
      </c>
      <c r="B30" s="243">
        <v>1530.5</v>
      </c>
      <c r="C30" s="243">
        <v>2292.6</v>
      </c>
    </row>
    <row r="31" ht="16.2" spans="1:3">
      <c r="A31" s="238" t="s">
        <v>196</v>
      </c>
      <c r="B31" s="239">
        <v>1789.4</v>
      </c>
      <c r="C31" s="239">
        <v>2576.7</v>
      </c>
    </row>
    <row r="32" ht="16.2" spans="1:3">
      <c r="A32" s="238" t="s">
        <v>197</v>
      </c>
      <c r="B32" s="239">
        <v>1345.7</v>
      </c>
      <c r="C32" s="239">
        <v>2077</v>
      </c>
    </row>
    <row r="33" ht="16.2" spans="1:3">
      <c r="A33" s="238" t="s">
        <v>198</v>
      </c>
      <c r="B33" s="239">
        <v>917.9</v>
      </c>
      <c r="C33" s="239">
        <v>1510.1</v>
      </c>
    </row>
    <row r="34" ht="16.2" spans="1:3">
      <c r="A34" s="238" t="s">
        <v>199</v>
      </c>
      <c r="B34" s="239">
        <v>1383.9</v>
      </c>
      <c r="C34" s="239">
        <v>2123.3</v>
      </c>
    </row>
    <row r="35" ht="16.2" spans="1:3">
      <c r="A35" s="238" t="s">
        <v>200</v>
      </c>
      <c r="B35" s="239">
        <v>1383.9</v>
      </c>
      <c r="C35" s="239">
        <v>2123.3</v>
      </c>
    </row>
    <row r="36" ht="16.2" spans="1:3">
      <c r="A36" s="238" t="s">
        <v>201</v>
      </c>
      <c r="B36" s="239">
        <v>1362.3</v>
      </c>
      <c r="C36" s="239">
        <v>2097.1</v>
      </c>
    </row>
    <row r="37" ht="16.2" spans="1:3">
      <c r="A37" s="238" t="s">
        <v>202</v>
      </c>
      <c r="B37" s="239">
        <v>1454.9</v>
      </c>
      <c r="C37" s="239">
        <v>2207.7</v>
      </c>
    </row>
    <row r="38" ht="16.2" spans="1:3">
      <c r="A38" s="238" t="s">
        <v>203</v>
      </c>
      <c r="B38" s="239">
        <v>1345.5</v>
      </c>
      <c r="C38" s="239">
        <v>2076.6</v>
      </c>
    </row>
    <row r="39" ht="16.2" spans="1:3">
      <c r="A39" s="238" t="s">
        <v>204</v>
      </c>
      <c r="B39" s="239">
        <v>1450.1</v>
      </c>
      <c r="C39" s="239">
        <v>2202.1</v>
      </c>
    </row>
    <row r="40" ht="16.2" spans="1:3">
      <c r="A40" s="238" t="s">
        <v>205</v>
      </c>
      <c r="B40" s="239">
        <v>1421.1</v>
      </c>
      <c r="C40" s="239">
        <v>2167.8</v>
      </c>
    </row>
    <row r="41" ht="16.2" spans="1:3">
      <c r="A41" s="238" t="s">
        <v>206</v>
      </c>
      <c r="B41" s="239">
        <v>2919.3</v>
      </c>
      <c r="C41" s="239">
        <v>3649.1</v>
      </c>
    </row>
    <row r="42" ht="16.2" spans="1:3">
      <c r="A42" s="238" t="s">
        <v>207</v>
      </c>
      <c r="B42" s="239">
        <v>2999.5</v>
      </c>
      <c r="C42" s="239">
        <v>3749.4</v>
      </c>
    </row>
    <row r="43" ht="16.2" spans="1:3">
      <c r="A43" s="238" t="s">
        <v>208</v>
      </c>
      <c r="B43" s="239">
        <v>3072.6</v>
      </c>
      <c r="C43" s="239">
        <v>3840.8</v>
      </c>
    </row>
    <row r="44" ht="16.2" spans="1:3">
      <c r="A44" s="238" t="s">
        <v>209</v>
      </c>
      <c r="B44" s="239">
        <v>2880.1</v>
      </c>
      <c r="C44" s="239">
        <v>3600.1</v>
      </c>
    </row>
    <row r="45" ht="16.2" spans="1:3">
      <c r="A45" s="238" t="s">
        <v>210</v>
      </c>
      <c r="B45" s="239">
        <v>3075.3</v>
      </c>
      <c r="C45" s="239">
        <v>3844.1</v>
      </c>
    </row>
    <row r="46" ht="16.2" spans="1:3">
      <c r="A46" s="238" t="s">
        <v>211</v>
      </c>
      <c r="B46" s="239">
        <v>2186.6</v>
      </c>
      <c r="C46" s="239">
        <v>2937.4</v>
      </c>
    </row>
    <row r="47" ht="16.2" spans="1:3">
      <c r="A47" s="238" t="s">
        <v>212</v>
      </c>
      <c r="B47" s="239">
        <v>1549.9</v>
      </c>
      <c r="C47" s="239">
        <v>2316.8</v>
      </c>
    </row>
    <row r="48" ht="16.2" spans="1:3">
      <c r="A48" s="238" t="s">
        <v>213</v>
      </c>
      <c r="B48" s="239">
        <v>1480.2</v>
      </c>
      <c r="C48" s="239">
        <v>2237.2</v>
      </c>
    </row>
    <row r="49" ht="16.2" spans="1:3">
      <c r="A49" s="238" t="s">
        <v>214</v>
      </c>
      <c r="B49" s="239">
        <v>1155.7</v>
      </c>
      <c r="C49" s="239">
        <v>1835.8</v>
      </c>
    </row>
    <row r="50" ht="16.2" spans="1:3">
      <c r="A50" s="238" t="s">
        <v>215</v>
      </c>
      <c r="B50" s="239">
        <v>1155.7</v>
      </c>
      <c r="C50" s="239">
        <v>1835.8</v>
      </c>
    </row>
    <row r="51" ht="16.2" spans="1:3">
      <c r="A51" s="238" t="s">
        <v>216</v>
      </c>
      <c r="B51" s="239">
        <v>2244</v>
      </c>
      <c r="C51" s="239">
        <v>2983.9</v>
      </c>
    </row>
    <row r="52" ht="16.2" spans="1:3">
      <c r="A52" s="238" t="s">
        <v>217</v>
      </c>
      <c r="B52" s="239">
        <v>2939</v>
      </c>
      <c r="C52" s="239">
        <v>3673.8</v>
      </c>
    </row>
    <row r="53" ht="16.2" spans="1:3">
      <c r="A53" s="238" t="s">
        <v>218</v>
      </c>
      <c r="B53" s="239">
        <v>2907.6</v>
      </c>
      <c r="C53" s="239">
        <v>3634.5</v>
      </c>
    </row>
    <row r="54" ht="16.2" spans="1:3">
      <c r="A54" s="238" t="s">
        <v>219</v>
      </c>
      <c r="B54" s="239">
        <v>3014.8</v>
      </c>
      <c r="C54" s="239">
        <v>3768.5</v>
      </c>
    </row>
    <row r="55" ht="16.2" spans="1:3">
      <c r="A55" s="238" t="s">
        <v>220</v>
      </c>
      <c r="B55" s="239">
        <v>3010.6</v>
      </c>
      <c r="C55" s="239">
        <v>3763.3</v>
      </c>
    </row>
    <row r="56" ht="16.2" spans="1:3">
      <c r="A56" s="241" t="s">
        <v>221</v>
      </c>
      <c r="B56" s="242">
        <v>1408.4</v>
      </c>
      <c r="C56" s="239">
        <v>2152.7</v>
      </c>
    </row>
    <row r="57" ht="16.2" spans="1:3">
      <c r="A57" s="238" t="s">
        <v>222</v>
      </c>
      <c r="B57" s="239">
        <v>1514.9</v>
      </c>
      <c r="C57" s="239">
        <v>2277.1</v>
      </c>
    </row>
    <row r="58" ht="16.2" spans="1:3">
      <c r="A58" s="238" t="s">
        <v>223</v>
      </c>
      <c r="B58" s="244">
        <v>2573.3</v>
      </c>
      <c r="C58" s="239">
        <v>3220.2</v>
      </c>
    </row>
    <row r="59" ht="16.2" spans="1:3">
      <c r="A59" s="238" t="s">
        <v>224</v>
      </c>
      <c r="B59" s="239">
        <v>1391.9</v>
      </c>
      <c r="C59" s="239">
        <v>2132.9</v>
      </c>
    </row>
    <row r="60" ht="16.2" spans="1:3">
      <c r="A60" s="238" t="s">
        <v>225</v>
      </c>
      <c r="B60" s="239">
        <v>2829.1</v>
      </c>
      <c r="C60" s="239">
        <v>3536.3</v>
      </c>
    </row>
    <row r="61" ht="16.2" spans="1:3">
      <c r="A61" s="238" t="s">
        <v>226</v>
      </c>
      <c r="B61" s="239">
        <v>2783.5</v>
      </c>
      <c r="C61" s="239">
        <v>3479.3</v>
      </c>
    </row>
    <row r="62" ht="16.2" spans="1:3">
      <c r="A62" s="238" t="s">
        <v>227</v>
      </c>
      <c r="B62" s="239">
        <v>1318.6</v>
      </c>
      <c r="C62" s="239">
        <v>2043.6</v>
      </c>
    </row>
    <row r="63" ht="16.2" spans="1:3">
      <c r="A63" s="238" t="s">
        <v>228</v>
      </c>
      <c r="B63" s="239">
        <v>1701.1</v>
      </c>
      <c r="C63" s="239">
        <v>2479</v>
      </c>
    </row>
    <row r="64" ht="16.2" spans="1:3">
      <c r="A64" s="238" t="s">
        <v>229</v>
      </c>
      <c r="B64" s="239">
        <v>1521.6</v>
      </c>
      <c r="C64" s="239">
        <v>2282.4</v>
      </c>
    </row>
    <row r="65" ht="16.2" spans="1:3">
      <c r="A65" s="238" t="s">
        <v>230</v>
      </c>
      <c r="B65" s="239">
        <v>2109.5</v>
      </c>
      <c r="C65" s="239">
        <v>2869.3</v>
      </c>
    </row>
    <row r="66" ht="16.2" spans="1:3">
      <c r="A66" s="238" t="s">
        <v>231</v>
      </c>
      <c r="B66" s="239">
        <v>1866.4</v>
      </c>
      <c r="C66" s="239">
        <v>2646.5</v>
      </c>
    </row>
    <row r="67" ht="16.2" spans="1:3">
      <c r="A67" s="238" t="s">
        <v>232</v>
      </c>
      <c r="B67" s="239">
        <v>1485.7</v>
      </c>
      <c r="C67" s="239">
        <v>2243.5</v>
      </c>
    </row>
    <row r="68" ht="16.2" spans="1:3">
      <c r="A68" s="238" t="s">
        <v>233</v>
      </c>
      <c r="B68" s="239">
        <v>3181</v>
      </c>
      <c r="C68" s="239">
        <v>3976.3</v>
      </c>
    </row>
    <row r="69" ht="16.2" spans="1:3">
      <c r="A69" s="238" t="s">
        <v>234</v>
      </c>
      <c r="B69" s="239">
        <v>3181</v>
      </c>
      <c r="C69" s="239">
        <v>3976.3</v>
      </c>
    </row>
    <row r="70" ht="16.2" spans="1:3">
      <c r="A70" s="238" t="s">
        <v>235</v>
      </c>
      <c r="B70" s="239">
        <v>3181</v>
      </c>
      <c r="C70" s="239">
        <v>3976.3</v>
      </c>
    </row>
    <row r="71" ht="16.2" spans="1:3">
      <c r="A71" s="238" t="s">
        <v>236</v>
      </c>
      <c r="B71" s="239">
        <v>3181</v>
      </c>
      <c r="C71" s="239">
        <v>3976.3</v>
      </c>
    </row>
    <row r="72" ht="16.2" spans="1:3">
      <c r="A72" s="238" t="s">
        <v>237</v>
      </c>
      <c r="B72" s="239">
        <v>3181</v>
      </c>
      <c r="C72" s="239">
        <v>3976.3</v>
      </c>
    </row>
    <row r="73" ht="16.2" spans="1:3">
      <c r="A73" s="238" t="s">
        <v>238</v>
      </c>
      <c r="B73" s="239">
        <v>1340.5</v>
      </c>
      <c r="C73" s="239">
        <v>2070.6</v>
      </c>
    </row>
    <row r="74" ht="16.2" spans="1:3">
      <c r="A74" s="238" t="s">
        <v>239</v>
      </c>
      <c r="B74" s="239">
        <v>1469.6</v>
      </c>
      <c r="C74" s="239">
        <v>2224.8</v>
      </c>
    </row>
    <row r="75" ht="16.2" spans="1:3">
      <c r="A75" s="238" t="s">
        <v>240</v>
      </c>
      <c r="B75" s="239">
        <v>1398.1</v>
      </c>
      <c r="C75" s="239">
        <v>2140.3</v>
      </c>
    </row>
    <row r="76" ht="16.2" spans="1:3">
      <c r="A76" s="238" t="s">
        <v>241</v>
      </c>
      <c r="B76" s="239">
        <v>1398.1</v>
      </c>
      <c r="C76" s="239">
        <v>2140.3</v>
      </c>
    </row>
    <row r="77" ht="16.2" spans="1:3">
      <c r="A77" s="238" t="s">
        <v>242</v>
      </c>
      <c r="B77" s="239">
        <v>860.6</v>
      </c>
      <c r="C77" s="239">
        <v>1427.5</v>
      </c>
    </row>
    <row r="78" ht="16.2" spans="1:3">
      <c r="A78" s="238" t="s">
        <v>243</v>
      </c>
      <c r="B78" s="239">
        <v>2941.6</v>
      </c>
      <c r="C78" s="239">
        <v>3677.1</v>
      </c>
    </row>
    <row r="79" ht="16.2" spans="1:3">
      <c r="A79" s="238" t="s">
        <v>244</v>
      </c>
      <c r="B79" s="239">
        <v>2399.7</v>
      </c>
      <c r="C79" s="239">
        <v>3102</v>
      </c>
    </row>
    <row r="80" ht="16.2" spans="1:3">
      <c r="A80" s="4" t="s">
        <v>245</v>
      </c>
      <c r="B80" s="239">
        <v>2780.1</v>
      </c>
      <c r="C80" s="239">
        <v>3475.1</v>
      </c>
    </row>
    <row r="81" ht="16.2" spans="1:3">
      <c r="A81" s="4" t="s">
        <v>246</v>
      </c>
      <c r="B81" s="239">
        <v>3003.4</v>
      </c>
      <c r="C81" s="239">
        <v>3754.2</v>
      </c>
    </row>
    <row r="82" ht="16.2" spans="1:3">
      <c r="A82" s="4" t="s">
        <v>247</v>
      </c>
      <c r="B82" s="239">
        <v>2677.7</v>
      </c>
      <c r="C82" s="239">
        <v>3347.1</v>
      </c>
    </row>
    <row r="83" ht="16.2" spans="1:3">
      <c r="A83" s="4" t="s">
        <v>248</v>
      </c>
      <c r="B83" s="239">
        <v>2727.2</v>
      </c>
      <c r="C83" s="239">
        <v>3409</v>
      </c>
    </row>
    <row r="84" ht="16.2" spans="1:3">
      <c r="A84" s="4" t="s">
        <v>249</v>
      </c>
      <c r="B84" s="239">
        <v>2718.9</v>
      </c>
      <c r="C84" s="239">
        <v>3398.6</v>
      </c>
    </row>
    <row r="85" ht="16.2" spans="1:3">
      <c r="A85" s="4" t="s">
        <v>250</v>
      </c>
      <c r="B85" s="239">
        <v>2782.7</v>
      </c>
      <c r="C85" s="239">
        <v>3478.4</v>
      </c>
    </row>
    <row r="86" ht="16.2" spans="1:3">
      <c r="A86" s="4" t="s">
        <v>251</v>
      </c>
      <c r="B86" s="239">
        <v>2490.2</v>
      </c>
      <c r="C86" s="239">
        <v>3165.4</v>
      </c>
    </row>
    <row r="87" ht="16.2" spans="1:3">
      <c r="A87" s="4" t="s">
        <v>252</v>
      </c>
      <c r="B87" s="239">
        <v>2490.2</v>
      </c>
      <c r="C87" s="239">
        <v>3165.4</v>
      </c>
    </row>
    <row r="88" ht="16.2" spans="1:3">
      <c r="A88" s="4" t="s">
        <v>253</v>
      </c>
      <c r="B88" s="239">
        <v>2306.2</v>
      </c>
      <c r="C88" s="239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B3:H39"/>
  <sheetViews>
    <sheetView workbookViewId="0">
      <selection activeCell="L20" sqref="L20"/>
    </sheetView>
  </sheetViews>
  <sheetFormatPr defaultColWidth="8.66666666666667" defaultRowHeight="13.8" outlineLevelCol="7"/>
  <cols>
    <col min="2" max="2" width="18.4166666666667" customWidth="1"/>
    <col min="3" max="5" width="19.75" customWidth="1"/>
    <col min="6" max="6" width="13.4166666666667" customWidth="1"/>
    <col min="8" max="8" width="10.5833333333333"/>
    <col min="9" max="9" width="12.6666666666667"/>
  </cols>
  <sheetData>
    <row r="3" ht="15.6" spans="2:8">
      <c r="B3" s="225"/>
      <c r="C3" s="226" t="s">
        <v>254</v>
      </c>
      <c r="D3" s="226"/>
      <c r="E3" s="227" t="s">
        <v>255</v>
      </c>
      <c r="F3" s="227"/>
      <c r="G3" s="72"/>
      <c r="H3" s="72"/>
    </row>
    <row r="4" ht="16.2" spans="2:8">
      <c r="B4" s="228" t="s">
        <v>166</v>
      </c>
      <c r="C4" s="229" t="s">
        <v>256</v>
      </c>
      <c r="D4" s="230" t="s">
        <v>257</v>
      </c>
      <c r="E4" s="231" t="s">
        <v>258</v>
      </c>
      <c r="F4" s="231" t="s">
        <v>259</v>
      </c>
      <c r="G4" s="232" t="s">
        <v>260</v>
      </c>
      <c r="H4" s="72"/>
    </row>
    <row r="5" ht="15.6" spans="2:8">
      <c r="B5" s="13" t="s">
        <v>187</v>
      </c>
      <c r="C5" s="233">
        <v>76.4885649998321</v>
      </c>
      <c r="D5" s="234">
        <v>84.3937277113488</v>
      </c>
      <c r="E5" s="233">
        <v>114.570529827272</v>
      </c>
      <c r="F5" s="227"/>
      <c r="G5" s="233">
        <v>893.31</v>
      </c>
      <c r="H5" s="233">
        <f>C5*G5</f>
        <v>68328</v>
      </c>
    </row>
    <row r="6" ht="15.6" spans="2:8">
      <c r="B6" s="13" t="s">
        <v>216</v>
      </c>
      <c r="C6" s="233">
        <v>62.2623439988709</v>
      </c>
      <c r="D6" s="234">
        <v>104.988888888889</v>
      </c>
      <c r="E6" s="233">
        <v>95.1228855420472</v>
      </c>
      <c r="F6" s="227"/>
      <c r="G6" s="233">
        <v>4959.9</v>
      </c>
      <c r="H6" s="233">
        <f t="shared" ref="H6:H39" si="0">C6*G6</f>
        <v>308815</v>
      </c>
    </row>
    <row r="7" ht="15.6" spans="2:8">
      <c r="B7" s="13" t="s">
        <v>183</v>
      </c>
      <c r="C7" s="233">
        <v>59.7621050102127</v>
      </c>
      <c r="D7" s="234">
        <v>79.9555555555556</v>
      </c>
      <c r="E7" s="233">
        <v>102.006488045176</v>
      </c>
      <c r="F7" s="227"/>
      <c r="G7" s="233">
        <v>832.3</v>
      </c>
      <c r="H7" s="233">
        <f t="shared" si="0"/>
        <v>49740</v>
      </c>
    </row>
    <row r="8" ht="15.6" spans="2:8">
      <c r="B8" s="13" t="s">
        <v>170</v>
      </c>
      <c r="C8" s="233">
        <v>58.7240334322711</v>
      </c>
      <c r="D8" s="234">
        <v>79.2</v>
      </c>
      <c r="E8" s="233">
        <v>91.1367632149686</v>
      </c>
      <c r="F8" s="227"/>
      <c r="G8" s="233">
        <v>10909.22</v>
      </c>
      <c r="H8" s="233">
        <f t="shared" si="0"/>
        <v>640633.4</v>
      </c>
    </row>
    <row r="9" spans="2:8">
      <c r="B9" s="13" t="s">
        <v>182</v>
      </c>
      <c r="C9" s="233">
        <v>60.2008360596147</v>
      </c>
      <c r="D9" s="233"/>
      <c r="E9" s="233">
        <v>109.891857506361</v>
      </c>
      <c r="F9" s="233"/>
      <c r="G9" s="233">
        <v>1100.4</v>
      </c>
      <c r="H9" s="233">
        <f t="shared" si="0"/>
        <v>66245</v>
      </c>
    </row>
    <row r="10" spans="2:8">
      <c r="B10" s="13" t="s">
        <v>261</v>
      </c>
      <c r="C10" s="233">
        <v>86.9969008264463</v>
      </c>
      <c r="D10" s="233"/>
      <c r="E10" s="233">
        <v>118.246900826446</v>
      </c>
      <c r="F10" s="233"/>
      <c r="G10" s="233">
        <v>968</v>
      </c>
      <c r="H10" s="233">
        <f t="shared" si="0"/>
        <v>84213</v>
      </c>
    </row>
    <row r="11" spans="2:8">
      <c r="B11" s="13" t="s">
        <v>262</v>
      </c>
      <c r="C11" s="233">
        <v>47.8292794860028</v>
      </c>
      <c r="D11" s="233"/>
      <c r="E11" s="233">
        <v>82.2900413033502</v>
      </c>
      <c r="F11" s="233"/>
      <c r="G11" s="233">
        <v>1089.5</v>
      </c>
      <c r="H11" s="233">
        <f t="shared" si="0"/>
        <v>52110</v>
      </c>
    </row>
    <row r="12" spans="2:8">
      <c r="B12" s="13" t="s">
        <v>263</v>
      </c>
      <c r="C12" s="233">
        <v>31.947912602419</v>
      </c>
      <c r="D12" s="233"/>
      <c r="E12" s="233">
        <v>60.0936402653141</v>
      </c>
      <c r="F12" s="233"/>
      <c r="G12" s="233">
        <v>1025.2</v>
      </c>
      <c r="H12" s="233">
        <f t="shared" si="0"/>
        <v>32753</v>
      </c>
    </row>
    <row r="13" spans="2:8">
      <c r="B13" s="13" t="s">
        <v>171</v>
      </c>
      <c r="C13" s="233">
        <v>59.7116014856893</v>
      </c>
      <c r="D13" s="233"/>
      <c r="E13" s="233">
        <v>91.0203189862355</v>
      </c>
      <c r="F13" s="233"/>
      <c r="G13" s="233">
        <v>915.4</v>
      </c>
      <c r="H13" s="233">
        <f t="shared" si="0"/>
        <v>54660</v>
      </c>
    </row>
    <row r="14" spans="2:8">
      <c r="B14" s="13" t="s">
        <v>191</v>
      </c>
      <c r="C14" s="233">
        <v>28.0623482692648</v>
      </c>
      <c r="D14" s="233"/>
      <c r="E14" s="233">
        <v>52.0370102413222</v>
      </c>
      <c r="F14" s="233"/>
      <c r="G14" s="233">
        <v>2487.96</v>
      </c>
      <c r="H14" s="233">
        <f t="shared" si="0"/>
        <v>69818</v>
      </c>
    </row>
    <row r="15" spans="2:8">
      <c r="B15" s="13" t="s">
        <v>184</v>
      </c>
      <c r="C15" s="233">
        <v>51.9406451105032</v>
      </c>
      <c r="D15" s="233"/>
      <c r="E15" s="233">
        <v>77.358156377305</v>
      </c>
      <c r="F15" s="233"/>
      <c r="G15" s="233">
        <v>2540.65</v>
      </c>
      <c r="H15" s="233">
        <f t="shared" si="0"/>
        <v>131963</v>
      </c>
    </row>
    <row r="16" spans="2:8">
      <c r="B16" s="13" t="s">
        <v>194</v>
      </c>
      <c r="C16" s="233">
        <v>46.0776229690945</v>
      </c>
      <c r="D16" s="233"/>
      <c r="E16" s="233">
        <v>73.4126998170371</v>
      </c>
      <c r="F16" s="233"/>
      <c r="G16" s="233">
        <v>2825.71</v>
      </c>
      <c r="H16" s="233">
        <f t="shared" si="0"/>
        <v>130202</v>
      </c>
    </row>
    <row r="17" spans="2:8">
      <c r="B17" s="13" t="s">
        <v>179</v>
      </c>
      <c r="C17" s="233">
        <v>44.8384666889856</v>
      </c>
      <c r="D17" s="233"/>
      <c r="E17" s="233">
        <v>79.8766878696574</v>
      </c>
      <c r="F17" s="233"/>
      <c r="G17" s="233">
        <v>3584.4</v>
      </c>
      <c r="H17" s="233">
        <f t="shared" si="0"/>
        <v>160719</v>
      </c>
    </row>
    <row r="18" spans="2:8">
      <c r="B18" s="13" t="s">
        <v>215</v>
      </c>
      <c r="C18" s="233">
        <v>38.9745082815735</v>
      </c>
      <c r="D18" s="233"/>
      <c r="E18" s="233">
        <v>64.7612577639752</v>
      </c>
      <c r="F18" s="233"/>
      <c r="G18" s="233">
        <v>1545.6</v>
      </c>
      <c r="H18" s="233">
        <f t="shared" si="0"/>
        <v>60239</v>
      </c>
    </row>
    <row r="19" spans="2:8">
      <c r="B19" s="13" t="s">
        <v>196</v>
      </c>
      <c r="C19" s="233">
        <v>53.2721044238379</v>
      </c>
      <c r="D19" s="233"/>
      <c r="E19" s="233">
        <v>83.7133069517453</v>
      </c>
      <c r="F19" s="233"/>
      <c r="G19" s="233">
        <v>338.62</v>
      </c>
      <c r="H19" s="233">
        <f t="shared" si="0"/>
        <v>18039</v>
      </c>
    </row>
    <row r="20" spans="2:8">
      <c r="B20" s="13" t="s">
        <v>188</v>
      </c>
      <c r="C20" s="233">
        <v>32.113960867266</v>
      </c>
      <c r="D20" s="233"/>
      <c r="E20" s="233">
        <v>63.0691433104178</v>
      </c>
      <c r="F20" s="233"/>
      <c r="G20" s="233">
        <v>1512.8</v>
      </c>
      <c r="H20" s="233">
        <f t="shared" si="0"/>
        <v>48582</v>
      </c>
    </row>
    <row r="21" spans="2:8">
      <c r="B21" s="13" t="s">
        <v>211</v>
      </c>
      <c r="C21" s="233">
        <v>63.0059948615472</v>
      </c>
      <c r="D21" s="233"/>
      <c r="E21" s="233">
        <v>90.23598820059</v>
      </c>
      <c r="F21" s="233"/>
      <c r="G21" s="233">
        <v>1050.9</v>
      </c>
      <c r="H21" s="233">
        <f t="shared" si="0"/>
        <v>66213</v>
      </c>
    </row>
    <row r="22" spans="2:8">
      <c r="B22" s="13" t="s">
        <v>190</v>
      </c>
      <c r="C22" s="233">
        <v>41.7996678266371</v>
      </c>
      <c r="D22" s="233"/>
      <c r="E22" s="233">
        <v>66.8933881683012</v>
      </c>
      <c r="F22" s="233"/>
      <c r="G22" s="233">
        <v>1264.4</v>
      </c>
      <c r="H22" s="233">
        <f t="shared" si="0"/>
        <v>52851.4999999999</v>
      </c>
    </row>
    <row r="23" spans="2:8">
      <c r="B23" s="13" t="s">
        <v>167</v>
      </c>
      <c r="C23" s="233">
        <v>62.4010444301712</v>
      </c>
      <c r="D23" s="233"/>
      <c r="E23" s="233">
        <v>94.9437292300818</v>
      </c>
      <c r="F23" s="233"/>
      <c r="G23" s="233">
        <v>17904.5</v>
      </c>
      <c r="H23" s="233">
        <f t="shared" si="0"/>
        <v>1117259.5</v>
      </c>
    </row>
    <row r="24" spans="2:8">
      <c r="B24" s="13" t="s">
        <v>264</v>
      </c>
      <c r="C24" s="233">
        <v>43.5750932835821</v>
      </c>
      <c r="D24" s="233"/>
      <c r="E24" s="233">
        <v>71.1753731343284</v>
      </c>
      <c r="F24" s="233"/>
      <c r="G24" s="233">
        <v>428.8</v>
      </c>
      <c r="H24" s="233">
        <f t="shared" si="0"/>
        <v>18685</v>
      </c>
    </row>
    <row r="25" spans="2:8">
      <c r="B25" s="13" t="s">
        <v>213</v>
      </c>
      <c r="C25" s="233">
        <v>43.6043360433604</v>
      </c>
      <c r="D25" s="233"/>
      <c r="E25" s="233">
        <v>71.0414246999613</v>
      </c>
      <c r="F25" s="233"/>
      <c r="G25" s="233">
        <v>516.6</v>
      </c>
      <c r="H25" s="233">
        <f t="shared" si="0"/>
        <v>22526</v>
      </c>
    </row>
    <row r="26" spans="2:8">
      <c r="B26" s="13" t="s">
        <v>212</v>
      </c>
      <c r="C26" s="233">
        <v>42.2454439901055</v>
      </c>
      <c r="D26" s="233"/>
      <c r="E26" s="233">
        <v>70.3526174970973</v>
      </c>
      <c r="F26" s="233"/>
      <c r="G26" s="233">
        <v>3961.8</v>
      </c>
      <c r="H26" s="233">
        <f t="shared" si="0"/>
        <v>167368</v>
      </c>
    </row>
    <row r="27" spans="2:8">
      <c r="B27" s="13" t="s">
        <v>195</v>
      </c>
      <c r="C27" s="233">
        <v>41.6918429003021</v>
      </c>
      <c r="D27" s="233"/>
      <c r="E27" s="233">
        <v>76.348726801899</v>
      </c>
      <c r="F27" s="233"/>
      <c r="G27" s="233">
        <v>463.4</v>
      </c>
      <c r="H27" s="233">
        <f t="shared" si="0"/>
        <v>19320</v>
      </c>
    </row>
    <row r="28" spans="2:8">
      <c r="B28" s="13" t="s">
        <v>206</v>
      </c>
      <c r="C28" s="233">
        <v>88.7350095918095</v>
      </c>
      <c r="D28" s="233"/>
      <c r="E28" s="233">
        <v>118.620420808584</v>
      </c>
      <c r="F28" s="233"/>
      <c r="G28" s="233">
        <v>974.79</v>
      </c>
      <c r="H28" s="233">
        <f t="shared" si="0"/>
        <v>86498</v>
      </c>
    </row>
    <row r="29" spans="2:8">
      <c r="B29" s="13" t="s">
        <v>210</v>
      </c>
      <c r="C29" s="233">
        <v>88.9981617647059</v>
      </c>
      <c r="D29" s="233"/>
      <c r="E29" s="233">
        <v>124.852941176471</v>
      </c>
      <c r="F29" s="233"/>
      <c r="G29" s="233">
        <v>544</v>
      </c>
      <c r="H29" s="233">
        <f t="shared" si="0"/>
        <v>48415</v>
      </c>
    </row>
    <row r="30" spans="2:8">
      <c r="B30" s="13" t="s">
        <v>209</v>
      </c>
      <c r="C30" s="233">
        <v>90.5917089878351</v>
      </c>
      <c r="D30" s="233"/>
      <c r="E30" s="233">
        <v>122.097555214362</v>
      </c>
      <c r="F30" s="233"/>
      <c r="G30" s="233">
        <v>846.7</v>
      </c>
      <c r="H30" s="233">
        <f t="shared" si="0"/>
        <v>76704</v>
      </c>
    </row>
    <row r="31" spans="2:8">
      <c r="B31" s="13" t="s">
        <v>176</v>
      </c>
      <c r="C31" s="233">
        <v>43.0648104077423</v>
      </c>
      <c r="D31" s="233"/>
      <c r="E31" s="233">
        <v>78.5974932571791</v>
      </c>
      <c r="F31" s="233"/>
      <c r="G31" s="233">
        <v>1260.6</v>
      </c>
      <c r="H31" s="233">
        <f t="shared" si="0"/>
        <v>54287.4999999999</v>
      </c>
    </row>
    <row r="32" spans="2:8">
      <c r="B32" s="13" t="s">
        <v>172</v>
      </c>
      <c r="C32" s="233">
        <v>42.8466128466128</v>
      </c>
      <c r="D32" s="233"/>
      <c r="E32" s="233">
        <v>76.4244764244764</v>
      </c>
      <c r="F32" s="233"/>
      <c r="G32" s="233">
        <v>854.7</v>
      </c>
      <c r="H32" s="233">
        <f t="shared" si="0"/>
        <v>36621</v>
      </c>
    </row>
    <row r="33" spans="2:8">
      <c r="B33" s="13" t="s">
        <v>193</v>
      </c>
      <c r="C33" s="233">
        <v>37.345793224153</v>
      </c>
      <c r="D33" s="233"/>
      <c r="E33" s="233">
        <v>62.4328041005126</v>
      </c>
      <c r="F33" s="233"/>
      <c r="G33" s="233">
        <v>3199.6</v>
      </c>
      <c r="H33" s="233">
        <f t="shared" si="0"/>
        <v>119491.6</v>
      </c>
    </row>
    <row r="34" spans="2:8">
      <c r="B34" s="13" t="s">
        <v>177</v>
      </c>
      <c r="C34" s="233">
        <v>44.097985685826</v>
      </c>
      <c r="D34" s="233"/>
      <c r="E34" s="233">
        <v>74.5960303991736</v>
      </c>
      <c r="F34" s="233"/>
      <c r="G34" s="233">
        <v>1355.3</v>
      </c>
      <c r="H34" s="233">
        <f t="shared" si="0"/>
        <v>59766</v>
      </c>
    </row>
    <row r="35" spans="2:8">
      <c r="B35" s="13" t="s">
        <v>185</v>
      </c>
      <c r="C35" s="233">
        <v>50.453727463081</v>
      </c>
      <c r="D35" s="233"/>
      <c r="E35" s="233">
        <v>78.2425418548256</v>
      </c>
      <c r="F35" s="233"/>
      <c r="G35" s="233">
        <v>6523.74</v>
      </c>
      <c r="H35" s="233">
        <f t="shared" si="0"/>
        <v>329147</v>
      </c>
    </row>
    <row r="36" spans="2:8">
      <c r="B36" s="235" t="s">
        <v>186</v>
      </c>
      <c r="C36" s="233">
        <v>50.453727463081</v>
      </c>
      <c r="D36" s="233"/>
      <c r="E36" s="233">
        <v>78.2425418548256</v>
      </c>
      <c r="F36" s="233"/>
      <c r="G36" s="233">
        <v>6523.74</v>
      </c>
      <c r="H36" s="233">
        <f t="shared" si="0"/>
        <v>329147</v>
      </c>
    </row>
    <row r="37" spans="2:8">
      <c r="B37" s="13" t="s">
        <v>208</v>
      </c>
      <c r="C37" s="233">
        <v>92.3106490783611</v>
      </c>
      <c r="D37" s="233"/>
      <c r="E37" s="233">
        <v>146.527474447453</v>
      </c>
      <c r="F37" s="233"/>
      <c r="G37" s="233">
        <v>1144.7</v>
      </c>
      <c r="H37" s="233">
        <f t="shared" si="0"/>
        <v>105668</v>
      </c>
    </row>
    <row r="38" spans="2:8">
      <c r="B38" s="13" t="s">
        <v>189</v>
      </c>
      <c r="C38" s="233">
        <v>50.5743096363407</v>
      </c>
      <c r="D38" s="233"/>
      <c r="E38" s="233">
        <v>81.7244716211099</v>
      </c>
      <c r="F38" s="233"/>
      <c r="G38" s="233">
        <v>1426.06</v>
      </c>
      <c r="H38" s="233">
        <f t="shared" si="0"/>
        <v>72122</v>
      </c>
    </row>
    <row r="39" spans="2:8">
      <c r="B39" s="235" t="s">
        <v>173</v>
      </c>
      <c r="C39" s="233">
        <v>43.5669707153145</v>
      </c>
      <c r="D39" s="233"/>
      <c r="E39" s="233">
        <v>86.4298287726036</v>
      </c>
      <c r="F39" s="233"/>
      <c r="G39" s="233">
        <v>624.9</v>
      </c>
      <c r="H39" s="233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27"/>
  <sheetViews>
    <sheetView showGridLines="0" zoomScale="70" zoomScaleNormal="70" topLeftCell="C1" workbookViewId="0">
      <selection activeCell="D9" sqref="D9"/>
    </sheetView>
  </sheetViews>
  <sheetFormatPr defaultColWidth="8.66666666666667" defaultRowHeight="13.8"/>
  <cols>
    <col min="1" max="1" width="6" customWidth="1"/>
    <col min="2" max="2" width="14.6666666666667" customWidth="1"/>
    <col min="3" max="3" width="12.4166666666667" style="2" customWidth="1"/>
    <col min="4" max="5" width="16.75" style="2" customWidth="1"/>
    <col min="6" max="6" width="19.4166666666667" style="2" customWidth="1"/>
    <col min="7" max="7" width="14.6666666666667" style="2" customWidth="1"/>
    <col min="8" max="8" width="14.6666666666667" customWidth="1"/>
    <col min="9" max="11" width="10.25" customWidth="1"/>
    <col min="12" max="12" width="24" customWidth="1"/>
    <col min="13" max="13" width="14.6666666666667" customWidth="1"/>
    <col min="14" max="16" width="12.75" customWidth="1"/>
    <col min="17" max="17" width="12.75" hidden="1" customWidth="1"/>
  </cols>
  <sheetData>
    <row r="1" ht="16.35" spans="1:17">
      <c r="A1" s="28"/>
      <c r="B1" s="161"/>
      <c r="C1" s="162"/>
      <c r="D1" s="162"/>
      <c r="E1" s="162"/>
    </row>
    <row r="2" ht="24" customHeight="1" spans="1:17">
      <c r="A2" s="28"/>
      <c r="B2" s="163" t="s">
        <v>265</v>
      </c>
      <c r="C2" s="164" t="s">
        <v>266</v>
      </c>
      <c r="D2" s="165" t="s">
        <v>267</v>
      </c>
      <c r="E2" s="166" t="s">
        <v>268</v>
      </c>
      <c r="F2"/>
      <c r="G2"/>
    </row>
    <row r="3" ht="16.35" spans="1:17">
      <c r="A3" s="28"/>
      <c r="B3" s="167" t="s">
        <v>269</v>
      </c>
      <c r="C3" s="168" t="s">
        <v>270</v>
      </c>
      <c r="D3" s="169" t="s">
        <v>271</v>
      </c>
      <c r="E3" s="70" t="s">
        <v>272</v>
      </c>
      <c r="F3" s="164" t="s">
        <v>273</v>
      </c>
      <c r="G3" s="164" t="s">
        <v>274</v>
      </c>
      <c r="H3" s="166" t="s">
        <v>275</v>
      </c>
      <c r="I3" s="170" t="s">
        <v>276</v>
      </c>
      <c r="J3" s="164" t="s">
        <v>277</v>
      </c>
      <c r="K3" s="171" t="s">
        <v>278</v>
      </c>
      <c r="L3" s="172" t="s">
        <v>279</v>
      </c>
      <c r="M3" s="164" t="s">
        <v>280</v>
      </c>
      <c r="N3" s="166" t="s">
        <v>281</v>
      </c>
      <c r="O3" s="173" t="s">
        <v>282</v>
      </c>
      <c r="P3" s="173" t="s">
        <v>283</v>
      </c>
      <c r="Q3" s="173" t="s">
        <v>284</v>
      </c>
    </row>
    <row r="4" ht="16.35" spans="1:17">
      <c r="A4" s="28"/>
      <c r="B4" s="174"/>
      <c r="C4" s="175" t="s">
        <v>285</v>
      </c>
      <c r="D4" s="175" t="s">
        <v>286</v>
      </c>
      <c r="E4" s="176" t="str">
        <f t="array" ref="E4">_xlfn.TEXTJOIN("&amp;",TRUE,_xlfn._xlws.FILTER('【3-2】大区&amp;运营中心填-房间模型价'!K2:K10,'【3-2】大区&amp;运营中心填-房间模型价'!K2:K10&lt;&gt;""))</f>
        <v>开间&amp;一居室</v>
      </c>
      <c r="F4" s="176">
        <f t="array" ref="F4">INT(LOOKUP(2,1/(NOT(ISBLANK('【3-2】大区&amp;运营中心填-房间模型价'!H:H))),'【3-2】大区&amp;运营中心填-房间模型价'!H:H)/100)</f>
        <v>6</v>
      </c>
      <c r="G4" s="177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23.5</v>
      </c>
      <c r="H4" s="178">
        <f>'【3-2】大区&amp;运营中心填-房间模型价'!G2</f>
        <v>4</v>
      </c>
      <c r="I4" s="179">
        <f>AVERAGEIF('【3-2】大区&amp;运营中心填-房间模型价'!J:J,"开间",'【3-2】大区&amp;运营中心填-房间模型价'!AE:AE)</f>
        <v>1176.34</v>
      </c>
      <c r="J4" s="177">
        <f>AVERAGEIF('【3-2】大区&amp;运营中心填-房间模型价'!J:J,"一居室",'【3-2】大区&amp;运营中心填-房间模型价'!AE:AE)</f>
        <v>1765.66666666667</v>
      </c>
      <c r="K4" s="180">
        <f>SUMIF('【3-2】大区&amp;运营中心填-房间模型价'!A:A,E2,'【3-2】大区&amp;运营中心填-房间模型价'!AE:AE)/G4</f>
        <v>1176.7829787234</v>
      </c>
      <c r="L4" s="181">
        <f>AVERAGEIF('【3-2】大区&amp;运营中心填-房间模型价'!J:J,"开间",'【3-2】大区&amp;运营中心填-房间模型价'!N:N)</f>
        <v>13.475</v>
      </c>
      <c r="M4" s="177">
        <f>AVERAGEIF('【3-2】大区&amp;运营中心填-房间模型价'!J:J,"一居室",'【3-2】大区&amp;运营中心填-房间模型价'!N:N)</f>
        <v>22.1522222222222</v>
      </c>
      <c r="N4" s="182">
        <v>99.2</v>
      </c>
      <c r="O4" s="183">
        <v>522.39</v>
      </c>
      <c r="P4" s="183">
        <v>27617</v>
      </c>
      <c r="Q4" s="184" t="e">
        <f>VLOOKUP(C2,piovt_各村均价!B:G,6,0)</f>
        <v>#N/A</v>
      </c>
    </row>
    <row r="5" ht="14.55" spans="1:17">
      <c r="A5" s="28"/>
    </row>
    <row r="6" ht="14.55" spans="1:17">
      <c r="A6" s="28"/>
    </row>
    <row r="7" ht="23" customHeight="1" spans="1:17">
      <c r="A7" s="28"/>
      <c r="B7" s="185" t="s">
        <v>287</v>
      </c>
      <c r="C7" s="186"/>
      <c r="D7" s="186"/>
      <c r="E7" s="187"/>
    </row>
    <row r="8" ht="16.95" spans="1:17">
      <c r="A8" s="28"/>
      <c r="B8" s="188" t="s">
        <v>288</v>
      </c>
      <c r="C8" s="172" t="s">
        <v>289</v>
      </c>
      <c r="D8" s="164" t="s">
        <v>290</v>
      </c>
      <c r="E8" s="164" t="s">
        <v>291</v>
      </c>
      <c r="F8" s="164" t="s">
        <v>292</v>
      </c>
      <c r="G8" s="164" t="s">
        <v>293</v>
      </c>
      <c r="H8" s="164" t="s">
        <v>294</v>
      </c>
      <c r="I8" s="189" t="s">
        <v>295</v>
      </c>
    </row>
    <row r="9" ht="18" customHeight="1" spans="1:17">
      <c r="A9" s="28"/>
      <c r="B9" s="190"/>
      <c r="C9" s="191"/>
      <c r="D9" s="23">
        <f>P4/O4</f>
        <v>52.8666322096518</v>
      </c>
      <c r="E9" s="23">
        <f>(D9+13)/0.9</f>
        <v>73.1851468996131</v>
      </c>
      <c r="F9" s="192">
        <f>SUMIF('【3-2】大区&amp;运营中心填-房间模型价'!A:A,E2,'【3-2】大区&amp;运营中心填-房间模型价'!AE:AE)/O4</f>
        <v>52.9382262294454</v>
      </c>
      <c r="G9" s="153">
        <f>F9/D9</f>
        <v>1.00135423833146</v>
      </c>
      <c r="H9" s="153">
        <f>F9/E9</f>
        <v>0.72334658700706</v>
      </c>
      <c r="I9" s="193" t="str">
        <f>IF(H9&lt;1,"不通过","通过")</f>
        <v>不通过</v>
      </c>
    </row>
    <row r="10" ht="6" customHeight="1" spans="1:17">
      <c r="A10" s="28"/>
      <c r="B10" s="190"/>
      <c r="C10" s="191"/>
      <c r="D10" s="4"/>
      <c r="E10" s="4"/>
      <c r="F10" s="4"/>
      <c r="G10" s="4"/>
      <c r="H10" s="4"/>
      <c r="I10" s="194"/>
    </row>
    <row r="11" ht="16.2" spans="1:17">
      <c r="A11" s="28"/>
      <c r="B11" s="190"/>
      <c r="C11" s="191" t="s">
        <v>296</v>
      </c>
      <c r="D11" s="23" t="s">
        <v>297</v>
      </c>
      <c r="E11" s="23" t="s">
        <v>298</v>
      </c>
      <c r="F11" s="23" t="s">
        <v>299</v>
      </c>
      <c r="G11" s="4" t="s">
        <v>293</v>
      </c>
      <c r="H11" s="4" t="s">
        <v>294</v>
      </c>
      <c r="I11" s="193" t="s">
        <v>295</v>
      </c>
    </row>
    <row r="12" ht="21" customHeight="1" spans="1:17">
      <c r="A12" s="28"/>
      <c r="B12" s="195"/>
      <c r="C12" s="196"/>
      <c r="D12" s="177">
        <f>D9</f>
        <v>52.8666322096518</v>
      </c>
      <c r="E12" s="177">
        <f>(D12+13)/0.9</f>
        <v>73.1851468996131</v>
      </c>
      <c r="F12" s="177">
        <f>F9</f>
        <v>52.9382262294454</v>
      </c>
      <c r="G12" s="197">
        <f>F12/D12</f>
        <v>1.00135423833146</v>
      </c>
      <c r="H12" s="197">
        <f>F12/E12</f>
        <v>0.72334658700706</v>
      </c>
      <c r="I12" s="198" t="str">
        <f>IF(H12&lt;1.05,"不通过","通过")</f>
        <v>不通过</v>
      </c>
    </row>
    <row r="13" ht="13" customHeight="1" spans="1:17">
      <c r="A13" s="28"/>
      <c r="B13" s="199"/>
    </row>
    <row r="14" ht="12" customHeight="1" spans="1:17">
      <c r="A14" s="28"/>
      <c r="B14" s="200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</row>
    <row r="15" ht="14.55" spans="1:17">
      <c r="A15" s="28"/>
      <c r="B15" s="201" t="s">
        <v>300</v>
      </c>
      <c r="C15" s="202" t="s">
        <v>301</v>
      </c>
      <c r="D15" s="164" t="s">
        <v>302</v>
      </c>
      <c r="E15" s="164" t="s">
        <v>303</v>
      </c>
      <c r="F15" s="164"/>
      <c r="G15" s="164"/>
      <c r="H15" s="164"/>
      <c r="I15" s="164"/>
      <c r="J15" s="164" t="s">
        <v>304</v>
      </c>
      <c r="K15" s="164" t="s">
        <v>305</v>
      </c>
      <c r="L15" s="203" t="s">
        <v>306</v>
      </c>
      <c r="M15" s="189" t="s">
        <v>295</v>
      </c>
    </row>
    <row r="16" spans="1:17">
      <c r="A16" s="28"/>
      <c r="B16" s="204"/>
      <c r="C16" s="205"/>
      <c r="D16" s="4"/>
      <c r="E16" s="4"/>
      <c r="F16" s="4"/>
      <c r="G16" s="4"/>
      <c r="H16" s="4"/>
      <c r="I16" s="4"/>
      <c r="J16" s="4"/>
      <c r="K16" s="4"/>
      <c r="L16" s="206"/>
      <c r="M16" s="193"/>
    </row>
    <row r="17" ht="19" customHeight="1" spans="1:15">
      <c r="A17" s="28"/>
      <c r="B17" s="204"/>
      <c r="C17" s="205"/>
      <c r="D17" s="4"/>
      <c r="E17" s="4"/>
      <c r="F17" s="4"/>
      <c r="G17" s="4"/>
      <c r="H17" s="4"/>
      <c r="I17" s="4"/>
      <c r="J17" s="4"/>
      <c r="K17" s="4"/>
      <c r="L17" s="69"/>
      <c r="M17" s="207" t="e">
        <f>L17/J17</f>
        <v>#DIV/0!</v>
      </c>
    </row>
    <row r="18" ht="15.6" spans="1:15">
      <c r="A18" s="28"/>
      <c r="B18" s="204"/>
      <c r="C18" s="205"/>
      <c r="D18" s="4"/>
      <c r="E18" s="4"/>
      <c r="F18" s="4"/>
      <c r="G18" s="4"/>
      <c r="H18" s="4"/>
      <c r="I18" s="4"/>
      <c r="J18" s="4"/>
      <c r="K18" s="4"/>
      <c r="L18" s="69"/>
      <c r="M18" s="207" t="e">
        <f>L18/J18</f>
        <v>#DIV/0!</v>
      </c>
    </row>
    <row r="19" ht="16.35" spans="1:15">
      <c r="A19" s="28"/>
      <c r="B19" s="208"/>
      <c r="C19" s="209"/>
      <c r="D19" s="176"/>
      <c r="E19" s="176"/>
      <c r="F19" s="176"/>
      <c r="G19" s="176"/>
      <c r="H19" s="176"/>
      <c r="I19" s="176"/>
      <c r="J19" s="176"/>
      <c r="K19" s="176"/>
      <c r="L19" s="210"/>
      <c r="M19" s="211" t="e">
        <f>L19/J19</f>
        <v>#DIV/0!</v>
      </c>
    </row>
    <row r="20" ht="15.3" spans="1:15">
      <c r="B20" s="21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ht="16.95" spans="1:15">
      <c r="B21" s="188" t="s">
        <v>307</v>
      </c>
      <c r="C21" s="172" t="s">
        <v>308</v>
      </c>
      <c r="D21" s="213" t="s">
        <v>309</v>
      </c>
      <c r="E21" s="213" t="s">
        <v>310</v>
      </c>
      <c r="F21" s="214" t="s">
        <v>295</v>
      </c>
      <c r="G21" s="189"/>
    </row>
    <row r="22" spans="1:15">
      <c r="B22" s="190"/>
      <c r="C22" s="191"/>
      <c r="D22" s="215">
        <f>MIN('【3-2】大区&amp;运营中心填-房间模型价'!AF:AF)</f>
        <v>-0.170945763200354</v>
      </c>
      <c r="E22" s="215">
        <f>MAX('【3-2】大区&amp;运营中心填-房间模型价'!AF:AF)</f>
        <v>0.0914473707569667</v>
      </c>
      <c r="F22" s="13" t="str">
        <f>IF(OR(D22&lt;-10%,E22&gt;10%),"不通过","通过")</f>
        <v>不通过</v>
      </c>
      <c r="G22" s="216"/>
      <c r="I22" s="28"/>
    </row>
    <row r="23" ht="14.55" spans="1:15">
      <c r="B23" s="190"/>
      <c r="C23" s="196"/>
      <c r="D23" s="217"/>
      <c r="E23" s="217"/>
      <c r="F23" s="218"/>
      <c r="G23" s="219"/>
      <c r="I23" s="28"/>
    </row>
    <row r="24" ht="15.3" spans="1:15">
      <c r="B24" s="190"/>
      <c r="C24" s="220"/>
      <c r="D24" s="3"/>
      <c r="E24" s="3"/>
      <c r="F24" s="3"/>
      <c r="G24" s="221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190"/>
      <c r="C25" s="222" t="s">
        <v>311</v>
      </c>
      <c r="D25" s="213" t="s">
        <v>312</v>
      </c>
      <c r="E25" s="213" t="s">
        <v>313</v>
      </c>
      <c r="F25" s="214" t="s">
        <v>295</v>
      </c>
      <c r="G25" s="189"/>
      <c r="I25" s="28"/>
    </row>
    <row r="26" ht="34" customHeight="1" spans="1:15">
      <c r="B26" s="195"/>
      <c r="C26" s="223"/>
      <c r="D26" s="224">
        <f>AVERAGE('【3-2】大区&amp;运营中心填-房间模型价'!AD:AD)</f>
        <v>1494.79890108632</v>
      </c>
      <c r="E26" s="224">
        <f>AVERAGE('【3-2】大区&amp;运营中心填-房间模型价'!AE:AE)</f>
        <v>1455.49473684211</v>
      </c>
      <c r="F26" s="217">
        <f>E26/D26</f>
        <v>0.973706052221706</v>
      </c>
      <c r="G26" s="211"/>
      <c r="I26" s="28"/>
    </row>
    <row r="27" ht="14.5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2:J22"/>
  <sheetViews>
    <sheetView workbookViewId="0">
      <selection activeCell="L20" sqref="L20"/>
    </sheetView>
  </sheetViews>
  <sheetFormatPr defaultColWidth="8.41666666666667" defaultRowHeight="13.8"/>
  <cols>
    <col min="1" max="1" width="1.33333333333333" customWidth="1"/>
    <col min="2" max="2" width="12.4166666666667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166666666667" style="2" hidden="1" customWidth="1"/>
    <col min="11" max="11" width="12.0833333333333" customWidth="1"/>
  </cols>
  <sheetData>
    <row r="2" ht="15.6" spans="2:10">
      <c r="B2" s="4" t="s">
        <v>314</v>
      </c>
      <c r="C2" s="13" t="s">
        <v>315</v>
      </c>
      <c r="D2" s="2"/>
      <c r="E2" s="2"/>
      <c r="F2" s="2"/>
      <c r="G2" s="2"/>
      <c r="H2" s="2"/>
      <c r="I2" s="2"/>
    </row>
    <row r="3" spans="2:10">
      <c r="B3" s="4" t="s">
        <v>316</v>
      </c>
      <c r="C3" s="142" t="s">
        <v>271</v>
      </c>
      <c r="D3" s="143" t="s">
        <v>317</v>
      </c>
      <c r="E3" s="144" t="s">
        <v>272</v>
      </c>
      <c r="F3" s="2"/>
      <c r="G3" s="2"/>
      <c r="H3" s="2"/>
      <c r="I3" s="2"/>
    </row>
    <row r="4" ht="25.25" customHeight="1" spans="2:10">
      <c r="B4" s="4"/>
      <c r="C4" s="13" t="s">
        <v>54</v>
      </c>
      <c r="D4" s="145" t="s">
        <v>54</v>
      </c>
      <c r="E4" s="13" t="s">
        <v>318</v>
      </c>
      <c r="F4" s="2"/>
      <c r="G4" s="2"/>
      <c r="H4" s="2"/>
      <c r="I4" s="2"/>
    </row>
    <row r="5" ht="23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273</v>
      </c>
      <c r="C6" s="6" t="s">
        <v>274</v>
      </c>
      <c r="D6" s="6" t="s">
        <v>275</v>
      </c>
      <c r="E6" s="6" t="s">
        <v>276</v>
      </c>
      <c r="F6" s="6" t="s">
        <v>277</v>
      </c>
      <c r="G6" s="6" t="s">
        <v>278</v>
      </c>
      <c r="H6" s="6" t="s">
        <v>281</v>
      </c>
      <c r="I6" s="6" t="s">
        <v>282</v>
      </c>
      <c r="J6" s="146" t="s">
        <v>312</v>
      </c>
    </row>
    <row r="7" ht="24" customHeight="1" spans="2:10">
      <c r="B7" s="4">
        <v>5</v>
      </c>
      <c r="C7" s="23">
        <v>34</v>
      </c>
      <c r="D7" s="23">
        <v>7.5</v>
      </c>
      <c r="E7" s="23">
        <f>AVERAGEIF('【3-2】大区&amp;运营中心填-房间模型价'!J:J,"开间",'【3-2】大区&amp;运营中心填-房间模型价'!AE:AE)</f>
        <v>1176.34</v>
      </c>
      <c r="F7" s="23">
        <f>AVERAGEIF('【3-2】大区&amp;运营中心填-房间模型价'!J:J,"一居室",'【3-2】大区&amp;运营中心填-房间模型价'!AE:AE)</f>
        <v>1765.66666666667</v>
      </c>
      <c r="G7" s="23">
        <v>1681.05882352941</v>
      </c>
      <c r="H7" s="147">
        <v>135.73</v>
      </c>
      <c r="I7" s="147">
        <v>662</v>
      </c>
      <c r="J7" s="23">
        <f>SUMIF('【3-2】大区&amp;运营中心填-房间模型价'!A:A,C2,'【3-2】大区&amp;运营中心填-房间模型价'!AD:AD)/C7</f>
        <v>0</v>
      </c>
    </row>
    <row r="8" ht="26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48" t="s">
        <v>319</v>
      </c>
      <c r="D9" s="148" t="s">
        <v>320</v>
      </c>
      <c r="E9" s="149" t="s">
        <v>321</v>
      </c>
      <c r="F9" s="150" t="s">
        <v>292</v>
      </c>
      <c r="G9" s="150" t="s">
        <v>293</v>
      </c>
      <c r="H9" s="150" t="s">
        <v>294</v>
      </c>
    </row>
    <row r="10" ht="29" customHeight="1" spans="2:10">
      <c r="B10" s="4" t="s">
        <v>322</v>
      </c>
      <c r="C10" s="151">
        <v>45</v>
      </c>
      <c r="D10" s="151">
        <v>55</v>
      </c>
      <c r="E10" s="152">
        <f>(C10+21)/0.96</f>
        <v>68.75</v>
      </c>
      <c r="F10" s="152">
        <f>SUMIF('【3-2】大区&amp;运营中心填-房间模型价'!A:A,C2,'【3-2】大区&amp;运营中心填-房间模型价'!AE:AE)/I7</f>
        <v>0</v>
      </c>
      <c r="G10" s="153">
        <f>F10/C10</f>
        <v>0</v>
      </c>
      <c r="H10" s="154">
        <f>F10/E10</f>
        <v>0</v>
      </c>
    </row>
    <row r="11" ht="18" customHeight="1" spans="2:10">
      <c r="B11" s="155" t="s">
        <v>30</v>
      </c>
      <c r="C11" s="155" t="s">
        <v>323</v>
      </c>
      <c r="D11" s="155"/>
    </row>
    <row r="12" ht="19.25" customHeight="1" spans="2:10">
      <c r="B12" s="156" t="s">
        <v>302</v>
      </c>
      <c r="C12" s="157" t="s">
        <v>324</v>
      </c>
      <c r="D12" s="158"/>
      <c r="E12" s="158"/>
      <c r="F12" s="159"/>
      <c r="G12" s="156" t="s">
        <v>325</v>
      </c>
      <c r="H12" s="4" t="s">
        <v>326</v>
      </c>
      <c r="I12" s="2"/>
      <c r="J12"/>
    </row>
    <row r="13" ht="21" customHeight="1" spans="2:10">
      <c r="B13" s="4" t="s">
        <v>327</v>
      </c>
      <c r="C13" s="4" t="s">
        <v>328</v>
      </c>
      <c r="D13" s="4" t="s">
        <v>329</v>
      </c>
      <c r="E13" s="4" t="s">
        <v>330</v>
      </c>
      <c r="F13" s="4" t="s">
        <v>331</v>
      </c>
      <c r="G13" s="4">
        <v>1533</v>
      </c>
      <c r="H13" s="153">
        <f>E7/G13</f>
        <v>0.767345075016308</v>
      </c>
      <c r="I13" s="2"/>
      <c r="J13"/>
    </row>
    <row r="14" ht="15.6" spans="2:10">
      <c r="B14" s="4" t="s">
        <v>327</v>
      </c>
      <c r="C14" s="4" t="s">
        <v>332</v>
      </c>
      <c r="D14" s="4" t="s">
        <v>329</v>
      </c>
      <c r="E14" s="4" t="s">
        <v>330</v>
      </c>
      <c r="F14" s="4" t="s">
        <v>331</v>
      </c>
      <c r="G14" s="4">
        <v>1619</v>
      </c>
      <c r="H14" s="153">
        <f>E7/G14</f>
        <v>0.726584311303274</v>
      </c>
      <c r="I14" s="2"/>
      <c r="J14"/>
    </row>
    <row r="15" ht="20" customHeight="1" spans="2:10">
      <c r="B15" s="160" t="s">
        <v>327</v>
      </c>
      <c r="C15" s="160" t="s">
        <v>333</v>
      </c>
      <c r="D15" s="160" t="s">
        <v>329</v>
      </c>
      <c r="E15" s="160" t="s">
        <v>330</v>
      </c>
      <c r="F15" s="160" t="s">
        <v>331</v>
      </c>
      <c r="G15" s="160">
        <v>2202</v>
      </c>
      <c r="H15" s="153">
        <f>F7/G15</f>
        <v>0.801846805933999</v>
      </c>
      <c r="I15" s="2"/>
      <c r="J15"/>
    </row>
    <row r="21" ht="15.6" spans="3:4">
      <c r="C21" s="67" t="s">
        <v>334</v>
      </c>
      <c r="D21" s="160" t="s">
        <v>335</v>
      </c>
    </row>
    <row r="22" ht="15.6" spans="3:4">
      <c r="C22" s="70"/>
      <c r="D22" s="160" t="s">
        <v>336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U19"/>
  <sheetViews>
    <sheetView workbookViewId="0">
      <selection activeCell="L20" sqref="L20"/>
    </sheetView>
  </sheetViews>
  <sheetFormatPr defaultColWidth="9" defaultRowHeight="13.8"/>
  <cols>
    <col min="1" max="1" width="21.0833333333333" customWidth="1"/>
    <col min="2" max="2" width="9.66666666666667" customWidth="1"/>
    <col min="3" max="3" width="9" style="132" customWidth="1"/>
    <col min="4" max="4" width="8.41666666666667" customWidth="1"/>
    <col min="5" max="5" width="9" customWidth="1"/>
    <col min="6" max="9" width="7.66666666666667" customWidth="1"/>
    <col min="10" max="11" width="4.41666666666667" customWidth="1"/>
    <col min="12" max="12" width="7.33333333333333" customWidth="1"/>
    <col min="13" max="13" width="6.08333333333333" customWidth="1"/>
    <col min="14" max="15" width="7.66666666666667" customWidth="1"/>
    <col min="16" max="17" width="4.41666666666667" customWidth="1"/>
    <col min="18" max="18" width="7.66666666666667" customWidth="1"/>
    <col min="19" max="21" width="4.41666666666667" customWidth="1"/>
  </cols>
  <sheetData>
    <row r="1" s="131" customFormat="1" spans="1:21">
      <c r="A1" s="131" t="s">
        <v>302</v>
      </c>
      <c r="B1" s="131" t="s">
        <v>337</v>
      </c>
      <c r="C1" s="133" t="s">
        <v>338</v>
      </c>
    </row>
    <row r="2" spans="1:21">
      <c r="A2" t="s">
        <v>339</v>
      </c>
      <c r="B2" t="s">
        <v>340</v>
      </c>
      <c r="C2" s="134">
        <v>46.3</v>
      </c>
    </row>
    <row r="3" spans="1:21">
      <c r="A3" t="s">
        <v>341</v>
      </c>
      <c r="B3" t="s">
        <v>342</v>
      </c>
      <c r="C3" s="134">
        <v>18.9</v>
      </c>
    </row>
    <row r="4" spans="1:21">
      <c r="A4" t="s">
        <v>343</v>
      </c>
      <c r="B4" t="s">
        <v>344</v>
      </c>
      <c r="C4" s="132">
        <v>2500</v>
      </c>
    </row>
    <row r="5" spans="1:21">
      <c r="A5" t="s">
        <v>345</v>
      </c>
      <c r="B5" t="s">
        <v>346</v>
      </c>
      <c r="C5" s="132">
        <v>10</v>
      </c>
    </row>
    <row r="6" spans="1:21">
      <c r="A6" t="s">
        <v>347</v>
      </c>
      <c r="B6" t="s">
        <v>348</v>
      </c>
      <c r="C6" s="135">
        <v>0.98</v>
      </c>
    </row>
    <row r="7" spans="1:21">
      <c r="A7" t="s">
        <v>349</v>
      </c>
      <c r="B7" t="s">
        <v>350</v>
      </c>
      <c r="C7" s="132">
        <f>(C2*C3+C4*C3/C5/12)/C6</f>
        <v>1294.71428571429</v>
      </c>
    </row>
    <row r="8" spans="1:21">
      <c r="A8" t="s">
        <v>351</v>
      </c>
      <c r="B8" t="s">
        <v>348</v>
      </c>
      <c r="C8" s="135">
        <v>1</v>
      </c>
    </row>
    <row r="9" spans="1:21">
      <c r="A9" t="s">
        <v>352</v>
      </c>
      <c r="B9" t="s">
        <v>350</v>
      </c>
      <c r="C9" s="136"/>
    </row>
    <row r="10" spans="1:21">
      <c r="A10" t="s">
        <v>353</v>
      </c>
      <c r="B10" t="s">
        <v>348</v>
      </c>
      <c r="C10" s="132">
        <f>1-C8</f>
        <v>0</v>
      </c>
    </row>
    <row r="11" s="131" customFormat="1" spans="1:21">
      <c r="A11" s="131" t="s">
        <v>31</v>
      </c>
      <c r="B11" t="s">
        <v>350</v>
      </c>
      <c r="C11" s="133">
        <f>C7*C8+C9*C10</f>
        <v>1294.71428571429</v>
      </c>
    </row>
    <row r="12" ht="45" spans="1:21">
      <c r="C12" s="132" t="s">
        <v>37</v>
      </c>
      <c r="D12" t="s">
        <v>278</v>
      </c>
      <c r="F12" s="137" t="s">
        <v>354</v>
      </c>
      <c r="G12" s="138" t="s">
        <v>355</v>
      </c>
      <c r="H12" s="138" t="s">
        <v>145</v>
      </c>
      <c r="I12" s="138" t="s">
        <v>356</v>
      </c>
      <c r="J12" s="138" t="s">
        <v>357</v>
      </c>
      <c r="K12" s="138" t="s">
        <v>164</v>
      </c>
      <c r="L12" s="138" t="s">
        <v>358</v>
      </c>
      <c r="M12" s="138" t="s">
        <v>359</v>
      </c>
      <c r="N12" s="138" t="s">
        <v>360</v>
      </c>
      <c r="O12" s="138" t="s">
        <v>57</v>
      </c>
      <c r="P12" s="138" t="s">
        <v>361</v>
      </c>
      <c r="Q12" s="138" t="s">
        <v>67</v>
      </c>
      <c r="R12" s="138" t="s">
        <v>81</v>
      </c>
      <c r="S12" s="138" t="s">
        <v>362</v>
      </c>
      <c r="T12" s="138" t="s">
        <v>118</v>
      </c>
      <c r="U12" s="138" t="s">
        <v>151</v>
      </c>
    </row>
    <row r="13" ht="26.4" spans="1:21">
      <c r="A13" s="82" t="s">
        <v>363</v>
      </c>
      <c r="B13" t="s">
        <v>364</v>
      </c>
      <c r="C13" s="132">
        <v>1325</v>
      </c>
      <c r="D13" s="139">
        <f>C13/1</f>
        <v>1325</v>
      </c>
      <c r="E13" s="140"/>
      <c r="F13" s="99" t="s">
        <v>27</v>
      </c>
      <c r="G13" s="97" t="s">
        <v>149</v>
      </c>
      <c r="H13" s="97" t="s">
        <v>146</v>
      </c>
      <c r="I13" s="97" t="s">
        <v>365</v>
      </c>
      <c r="J13" s="97" t="s">
        <v>54</v>
      </c>
      <c r="K13" s="97" t="s">
        <v>54</v>
      </c>
      <c r="L13" s="97" t="s">
        <v>54</v>
      </c>
      <c r="M13" s="97" t="s">
        <v>366</v>
      </c>
      <c r="N13" s="97" t="s">
        <v>63</v>
      </c>
      <c r="O13" s="97" t="s">
        <v>63</v>
      </c>
      <c r="P13" s="98" t="s">
        <v>63</v>
      </c>
      <c r="Q13" s="97" t="s">
        <v>54</v>
      </c>
      <c r="R13" s="97" t="s">
        <v>367</v>
      </c>
      <c r="S13" s="97" t="s">
        <v>63</v>
      </c>
      <c r="T13" s="97" t="s">
        <v>63</v>
      </c>
      <c r="U13" s="97" t="s">
        <v>63</v>
      </c>
    </row>
    <row r="14" spans="1:21">
      <c r="A14" s="82" t="s">
        <v>368</v>
      </c>
      <c r="B14" t="s">
        <v>364</v>
      </c>
      <c r="C14" s="132">
        <v>1200</v>
      </c>
      <c r="D14" s="139">
        <f t="shared" ref="D14" si="0">C14/1</f>
        <v>1200</v>
      </c>
      <c r="F14" s="141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</row>
    <row r="15" spans="1:21">
      <c r="A15" s="82" t="s">
        <v>369</v>
      </c>
      <c r="B15" t="s">
        <v>364</v>
      </c>
      <c r="C15" s="136">
        <v>1850</v>
      </c>
      <c r="D15" s="139">
        <f>C15/1.5</f>
        <v>1233.33333333333</v>
      </c>
    </row>
    <row r="16" spans="1:21">
      <c r="A16" s="82" t="s">
        <v>370</v>
      </c>
      <c r="B16" t="s">
        <v>364</v>
      </c>
      <c r="C16" s="136">
        <v>1650</v>
      </c>
      <c r="D16" s="139">
        <f>C16/1.5</f>
        <v>1100</v>
      </c>
      <c r="E16" s="140"/>
    </row>
    <row r="17" spans="1:4">
      <c r="A17" s="82" t="s">
        <v>371</v>
      </c>
      <c r="B17" t="s">
        <v>364</v>
      </c>
      <c r="D17" s="139">
        <f t="shared" ref="D17" si="1">C17/1.5</f>
        <v>0</v>
      </c>
    </row>
    <row r="18" spans="1:4">
      <c r="A18" s="82" t="s">
        <v>372</v>
      </c>
      <c r="B18" t="s">
        <v>364</v>
      </c>
      <c r="D18" s="139">
        <f>C18/2</f>
        <v>0</v>
      </c>
    </row>
    <row r="19" spans="1:4">
      <c r="A19" s="82" t="s">
        <v>373</v>
      </c>
      <c r="B19" t="s">
        <v>364</v>
      </c>
      <c r="D19" s="139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L20" sqref="L20"/>
    </sheetView>
  </sheetViews>
  <sheetFormatPr defaultColWidth="8.41666666666667" defaultRowHeight="13.2"/>
  <cols>
    <col min="1" max="1" width="11.6666666666667" style="84" customWidth="1"/>
    <col min="2" max="2" width="19" style="84" customWidth="1"/>
    <col min="3" max="3" width="19" style="85" customWidth="1"/>
    <col min="4" max="4" width="7.41666666666667" style="84" customWidth="1"/>
    <col min="5" max="5" width="7.41666666666667" style="86" customWidth="1"/>
    <col min="6" max="6" width="9.41666666666667" style="84" customWidth="1"/>
    <col min="7" max="7" width="7.66666666666667" style="84" customWidth="1"/>
    <col min="8" max="8" width="9" style="84" customWidth="1"/>
    <col min="9" max="10" width="6.33333333333333" style="84" customWidth="1"/>
    <col min="11" max="11" width="7.33333333333333" style="84" customWidth="1"/>
    <col min="12" max="12" width="6.33333333333333" style="84" customWidth="1"/>
    <col min="13" max="14" width="7.66666666666667" style="84" customWidth="1"/>
    <col min="15" max="15" width="7" style="84" customWidth="1"/>
    <col min="16" max="16" width="6.33333333333333" style="84" customWidth="1"/>
    <col min="17" max="17" width="7.66666666666667" style="84" customWidth="1"/>
    <col min="18" max="18" width="8.41666666666667" style="84" customWidth="1"/>
    <col min="19" max="19" width="7" style="84" customWidth="1"/>
    <col min="20" max="20" width="6.41666666666667" style="84" customWidth="1"/>
    <col min="21" max="22" width="8.41666666666667" style="84"/>
    <col min="23" max="23" width="13.0833333333333" style="84" customWidth="1"/>
    <col min="24" max="24" width="19.0833333333333" style="84" customWidth="1"/>
    <col min="25" max="25" width="12.0833333333333" style="84" customWidth="1"/>
    <col min="26" max="26" width="15.6666666666667" style="84" customWidth="1"/>
    <col min="27" max="16384" width="8.41666666666667" style="84"/>
  </cols>
  <sheetData>
    <row r="1" ht="16.35" spans="2:21">
      <c r="F1" s="87" t="s">
        <v>374</v>
      </c>
      <c r="G1" s="87"/>
      <c r="H1" s="87"/>
      <c r="I1" s="87"/>
      <c r="J1" s="87"/>
      <c r="K1" s="87"/>
      <c r="L1" s="87"/>
      <c r="M1" s="87"/>
      <c r="N1" s="87" t="s">
        <v>375</v>
      </c>
      <c r="O1" s="87"/>
      <c r="P1" s="87"/>
      <c r="Q1" s="87"/>
      <c r="R1" s="87"/>
      <c r="S1" s="87"/>
      <c r="T1" s="87"/>
    </row>
    <row r="2" ht="36" spans="2:21">
      <c r="B2" s="88"/>
      <c r="C2" s="89"/>
      <c r="D2" s="90"/>
      <c r="E2" s="91" t="e">
        <f>MEDIAN(E8:E54)</f>
        <v>#REF!</v>
      </c>
      <c r="F2" s="92" t="s">
        <v>355</v>
      </c>
      <c r="G2" s="92" t="s">
        <v>145</v>
      </c>
      <c r="H2" s="92" t="s">
        <v>356</v>
      </c>
      <c r="I2" s="92" t="s">
        <v>357</v>
      </c>
      <c r="J2" s="92" t="s">
        <v>164</v>
      </c>
      <c r="K2" s="92" t="s">
        <v>376</v>
      </c>
      <c r="L2" s="92" t="s">
        <v>359</v>
      </c>
      <c r="M2" s="92" t="s">
        <v>360</v>
      </c>
      <c r="N2" s="93" t="s">
        <v>57</v>
      </c>
      <c r="O2" s="93" t="s">
        <v>361</v>
      </c>
      <c r="P2" s="93" t="s">
        <v>67</v>
      </c>
      <c r="Q2" s="93" t="s">
        <v>81</v>
      </c>
      <c r="R2" s="93" t="s">
        <v>362</v>
      </c>
      <c r="S2" s="93" t="s">
        <v>118</v>
      </c>
      <c r="T2" s="93" t="s">
        <v>151</v>
      </c>
    </row>
    <row r="3" spans="2:21">
      <c r="B3" s="94" t="s">
        <v>377</v>
      </c>
      <c r="C3" s="95"/>
      <c r="D3" s="94"/>
      <c r="E3" s="96"/>
      <c r="F3" s="97" t="s">
        <v>149</v>
      </c>
      <c r="G3" s="97" t="s">
        <v>146</v>
      </c>
      <c r="H3" s="97" t="s">
        <v>365</v>
      </c>
      <c r="I3" s="97" t="s">
        <v>54</v>
      </c>
      <c r="J3" s="97" t="s">
        <v>54</v>
      </c>
      <c r="K3" s="97" t="s">
        <v>54</v>
      </c>
      <c r="L3" s="97" t="s">
        <v>366</v>
      </c>
      <c r="M3" s="97" t="s">
        <v>63</v>
      </c>
      <c r="N3" s="97" t="s">
        <v>63</v>
      </c>
      <c r="O3" s="98" t="s">
        <v>63</v>
      </c>
      <c r="P3" s="97" t="s">
        <v>54</v>
      </c>
      <c r="Q3" s="97" t="s">
        <v>367</v>
      </c>
      <c r="R3" s="97" t="s">
        <v>63</v>
      </c>
      <c r="S3" s="97" t="s">
        <v>63</v>
      </c>
      <c r="T3" s="97" t="s">
        <v>63</v>
      </c>
    </row>
    <row r="4" spans="2:21">
      <c r="B4" s="99" t="s">
        <v>378</v>
      </c>
      <c r="C4" s="100"/>
      <c r="D4" s="99"/>
      <c r="E4" s="101"/>
      <c r="F4" s="97" t="s">
        <v>148</v>
      </c>
      <c r="G4" s="97" t="s">
        <v>146</v>
      </c>
      <c r="H4" s="97" t="s">
        <v>365</v>
      </c>
      <c r="I4" s="97" t="s">
        <v>54</v>
      </c>
      <c r="J4" s="97" t="s">
        <v>54</v>
      </c>
      <c r="K4" s="97" t="s">
        <v>54</v>
      </c>
      <c r="L4" s="97" t="s">
        <v>366</v>
      </c>
      <c r="M4" s="97" t="s">
        <v>379</v>
      </c>
      <c r="N4" s="97" t="s">
        <v>380</v>
      </c>
      <c r="O4" s="97" t="s">
        <v>63</v>
      </c>
      <c r="P4" s="97" t="s">
        <v>161</v>
      </c>
      <c r="Q4" s="97" t="s">
        <v>367</v>
      </c>
      <c r="R4" s="97" t="s">
        <v>132</v>
      </c>
      <c r="S4" s="98" t="s">
        <v>152</v>
      </c>
      <c r="T4" s="97" t="s">
        <v>379</v>
      </c>
    </row>
    <row r="5" s="82" customFormat="1" ht="26.4" spans="2:21">
      <c r="B5" s="99" t="s">
        <v>381</v>
      </c>
      <c r="C5" s="100"/>
      <c r="D5" s="99"/>
      <c r="E5" s="101" t="s">
        <v>382</v>
      </c>
      <c r="F5" s="97" t="s">
        <v>149</v>
      </c>
      <c r="G5" s="97" t="s">
        <v>148</v>
      </c>
      <c r="H5" s="97" t="s">
        <v>383</v>
      </c>
      <c r="I5" s="97" t="s">
        <v>162</v>
      </c>
      <c r="J5" s="97" t="s">
        <v>162</v>
      </c>
      <c r="K5" s="97" t="s">
        <v>51</v>
      </c>
      <c r="L5" s="97" t="s">
        <v>384</v>
      </c>
      <c r="M5" s="97" t="s">
        <v>63</v>
      </c>
      <c r="N5" s="97" t="s">
        <v>63</v>
      </c>
      <c r="O5" s="98" t="s">
        <v>157</v>
      </c>
      <c r="P5" s="97" t="s">
        <v>54</v>
      </c>
      <c r="Q5" s="97" t="s">
        <v>385</v>
      </c>
      <c r="R5" s="97" t="s">
        <v>63</v>
      </c>
      <c r="S5" s="97" t="s">
        <v>63</v>
      </c>
      <c r="T5" s="97" t="s">
        <v>63</v>
      </c>
    </row>
    <row r="6" s="82" customFormat="1" spans="2:21">
      <c r="B6" s="102"/>
      <c r="C6" s="103"/>
      <c r="D6" s="102"/>
      <c r="E6" s="104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 s="82" customFormat="1" spans="2:21">
      <c r="B7" s="102" t="s">
        <v>386</v>
      </c>
      <c r="C7" s="103" t="s">
        <v>387</v>
      </c>
      <c r="D7" s="106">
        <v>1419</v>
      </c>
      <c r="E7" s="104"/>
      <c r="F7" s="97" t="s">
        <v>149</v>
      </c>
      <c r="G7" s="97" t="s">
        <v>146</v>
      </c>
      <c r="H7" s="97" t="s">
        <v>365</v>
      </c>
      <c r="I7" s="97" t="s">
        <v>54</v>
      </c>
      <c r="J7" s="97" t="s">
        <v>54</v>
      </c>
      <c r="K7" s="97" t="s">
        <v>54</v>
      </c>
      <c r="L7" s="97" t="s">
        <v>366</v>
      </c>
      <c r="M7" s="97" t="s">
        <v>63</v>
      </c>
      <c r="N7" s="97" t="s">
        <v>380</v>
      </c>
      <c r="O7" s="98" t="s">
        <v>63</v>
      </c>
      <c r="P7" s="97" t="s">
        <v>54</v>
      </c>
      <c r="Q7" s="97" t="s">
        <v>367</v>
      </c>
      <c r="R7" s="97" t="s">
        <v>63</v>
      </c>
      <c r="S7" s="98" t="s">
        <v>388</v>
      </c>
      <c r="T7" s="97" t="s">
        <v>63</v>
      </c>
    </row>
    <row r="8" s="83" customFormat="1" spans="2:21">
      <c r="B8" s="107"/>
      <c r="C8" s="103" t="s">
        <v>389</v>
      </c>
      <c r="D8" s="106" t="e">
        <f>项目基准价!C13*PRODUCT(赋权表!F8:T8)</f>
        <v>#REF!</v>
      </c>
      <c r="E8" s="104" t="e">
        <f>D7/D8-1</f>
        <v>#REF!</v>
      </c>
      <c r="F8" s="108" t="e">
        <f>【1】定价因子!#REF!</f>
        <v>#REF!</v>
      </c>
      <c r="G8" s="108">
        <f>【1】定价因子!F64</f>
        <v>1</v>
      </c>
      <c r="H8" s="108">
        <f>【1】定价因子!F6</f>
        <v>0.96</v>
      </c>
      <c r="I8" s="108">
        <f>【1】定价因子!F72</f>
        <v>1</v>
      </c>
      <c r="J8" s="108">
        <f>【1】定价因子!F76</f>
        <v>1</v>
      </c>
      <c r="K8" s="108">
        <f>【1】定价因子!F8</f>
        <v>1</v>
      </c>
      <c r="L8" s="108" t="e">
        <f>【1】定价因子!#REF!</f>
        <v>#REF!</v>
      </c>
      <c r="M8" s="108" t="e">
        <f>【1】定价因子!#REF!</f>
        <v>#REF!</v>
      </c>
      <c r="N8" s="108">
        <f>【1】定价因子!F10</f>
        <v>1.06</v>
      </c>
      <c r="O8" s="108" t="e">
        <f>【1】定价因子!#REF!</f>
        <v>#REF!</v>
      </c>
      <c r="P8" s="108">
        <f>【1】定价因子!F18</f>
        <v>1</v>
      </c>
      <c r="Q8" s="108">
        <f>【1】定价因子!F23</f>
        <v>1</v>
      </c>
      <c r="R8" s="108">
        <f>【1】定价因子!F41</f>
        <v>1</v>
      </c>
      <c r="S8" s="108">
        <f>【1】定价因子!F48</f>
        <v>1</v>
      </c>
      <c r="T8" s="108">
        <f>【1】定价因子!F70</f>
        <v>1</v>
      </c>
    </row>
    <row r="9" s="82" customFormat="1" ht="26.4" spans="2:21">
      <c r="B9" s="102" t="s">
        <v>390</v>
      </c>
      <c r="C9" s="103" t="s">
        <v>387</v>
      </c>
      <c r="D9" s="106">
        <v>1469</v>
      </c>
      <c r="E9" s="104"/>
      <c r="F9" s="105" t="s">
        <v>150</v>
      </c>
      <c r="G9" s="97" t="s">
        <v>146</v>
      </c>
      <c r="H9" s="97" t="s">
        <v>383</v>
      </c>
      <c r="I9" s="97" t="s">
        <v>54</v>
      </c>
      <c r="J9" s="97" t="s">
        <v>54</v>
      </c>
      <c r="K9" s="97" t="s">
        <v>54</v>
      </c>
      <c r="L9" s="97" t="s">
        <v>366</v>
      </c>
      <c r="M9" s="97" t="s">
        <v>63</v>
      </c>
      <c r="N9" s="97" t="s">
        <v>380</v>
      </c>
      <c r="O9" s="98" t="s">
        <v>63</v>
      </c>
      <c r="P9" s="97" t="s">
        <v>54</v>
      </c>
      <c r="Q9" s="97" t="s">
        <v>391</v>
      </c>
      <c r="R9" s="97" t="s">
        <v>132</v>
      </c>
      <c r="S9" s="98" t="s">
        <v>392</v>
      </c>
      <c r="T9" s="98" t="s">
        <v>379</v>
      </c>
    </row>
    <row r="10" s="83" customFormat="1" spans="2:21">
      <c r="B10" s="107"/>
      <c r="C10" s="103" t="s">
        <v>389</v>
      </c>
      <c r="D10" s="106" t="e">
        <f>项目基准价!C13*PRODUCT(赋权表!F10:T10)</f>
        <v>#REF!</v>
      </c>
      <c r="E10" s="104" t="e">
        <f>D9/D10-1</f>
        <v>#REF!</v>
      </c>
      <c r="F10" s="108" t="e">
        <f>【1】定价因子!#REF!</f>
        <v>#REF!</v>
      </c>
      <c r="G10" s="108">
        <f>【1】定价因子!F64</f>
        <v>1</v>
      </c>
      <c r="H10" s="108" t="e">
        <f>【1】定价因子!#REF!</f>
        <v>#REF!</v>
      </c>
      <c r="I10" s="108">
        <f>I8</f>
        <v>1</v>
      </c>
      <c r="J10" s="108">
        <f t="shared" ref="J10:P10" si="0">J8</f>
        <v>1</v>
      </c>
      <c r="K10" s="108">
        <f t="shared" si="0"/>
        <v>1</v>
      </c>
      <c r="L10" s="108" t="e">
        <f t="shared" si="0"/>
        <v>#REF!</v>
      </c>
      <c r="M10" s="108" t="e">
        <f t="shared" si="0"/>
        <v>#REF!</v>
      </c>
      <c r="N10" s="108">
        <f t="shared" si="0"/>
        <v>1.06</v>
      </c>
      <c r="O10" s="108" t="e">
        <f t="shared" si="0"/>
        <v>#REF!</v>
      </c>
      <c r="P10" s="108">
        <f t="shared" si="0"/>
        <v>1</v>
      </c>
      <c r="Q10" s="108">
        <f>【1】定价因子!F22</f>
        <v>1.01</v>
      </c>
      <c r="R10" s="108">
        <f>【1】定价因子!F42</f>
        <v>1.04</v>
      </c>
      <c r="S10" s="108">
        <f>【1】定价因子!F46</f>
        <v>1.06</v>
      </c>
      <c r="T10" s="108">
        <f>【1】定价因子!F68</f>
        <v>1.045</v>
      </c>
    </row>
    <row r="11" s="83" customFormat="1" ht="13.8" spans="2:21">
      <c r="B11" s="107" t="s">
        <v>393</v>
      </c>
      <c r="C11" s="103" t="s">
        <v>387</v>
      </c>
      <c r="D11" s="106">
        <v>1470</v>
      </c>
      <c r="E11" s="104"/>
      <c r="F11" s="97" t="s">
        <v>149</v>
      </c>
      <c r="G11" s="97" t="s">
        <v>146</v>
      </c>
      <c r="H11" s="109" t="s">
        <v>394</v>
      </c>
      <c r="I11" s="97" t="s">
        <v>54</v>
      </c>
      <c r="J11" s="97" t="s">
        <v>54</v>
      </c>
      <c r="K11" s="109" t="s">
        <v>51</v>
      </c>
      <c r="L11" s="97" t="s">
        <v>384</v>
      </c>
      <c r="M11" s="97" t="s">
        <v>63</v>
      </c>
      <c r="N11" s="98" t="s">
        <v>63</v>
      </c>
      <c r="O11" s="98" t="s">
        <v>63</v>
      </c>
      <c r="P11" s="97" t="s">
        <v>161</v>
      </c>
      <c r="Q11" s="110" t="s">
        <v>395</v>
      </c>
      <c r="R11" s="97" t="s">
        <v>63</v>
      </c>
      <c r="S11" s="111" t="s">
        <v>392</v>
      </c>
      <c r="T11" s="112" t="s">
        <v>63</v>
      </c>
    </row>
    <row r="12" s="83" customFormat="1" ht="13.8" spans="2:21">
      <c r="B12" s="107"/>
      <c r="C12" s="103" t="s">
        <v>389</v>
      </c>
      <c r="D12" s="106" t="e">
        <f>项目基准价!$C$13*PRODUCT(赋权表!F12:T12)</f>
        <v>#REF!</v>
      </c>
      <c r="E12" s="104" t="e">
        <f>D11/D12-1</f>
        <v>#REF!</v>
      </c>
      <c r="F12" s="113" t="e">
        <f>F8</f>
        <v>#REF!</v>
      </c>
      <c r="G12" s="113">
        <f>G8</f>
        <v>1</v>
      </c>
      <c r="H12" s="114">
        <f>【1】定价因子!F2</f>
        <v>1.04</v>
      </c>
      <c r="I12" s="113">
        <f>I8</f>
        <v>1</v>
      </c>
      <c r="J12" s="113">
        <f>J8</f>
        <v>1</v>
      </c>
      <c r="K12" s="114">
        <f>【1】定价因子!F7</f>
        <v>1.05</v>
      </c>
      <c r="L12" s="105" t="e">
        <f>【1】定价因子!#REF!</f>
        <v>#REF!</v>
      </c>
      <c r="M12" s="113" t="e">
        <f>M8</f>
        <v>#REF!</v>
      </c>
      <c r="N12" s="113">
        <v>1</v>
      </c>
      <c r="O12" s="115" t="e">
        <f>O8</f>
        <v>#REF!</v>
      </c>
      <c r="P12" s="105">
        <f>【1】定价因子!F16</f>
        <v>1.07</v>
      </c>
      <c r="Q12" s="108">
        <f>【1】定价因子!F35</f>
        <v>1.03</v>
      </c>
      <c r="R12" s="113">
        <f>R8</f>
        <v>1</v>
      </c>
      <c r="S12" s="114">
        <f>【1】定价因子!F46</f>
        <v>1.06</v>
      </c>
      <c r="T12" s="116">
        <f>T8</f>
        <v>1</v>
      </c>
    </row>
    <row r="13" s="82" customFormat="1" spans="2:21">
      <c r="B13" s="102" t="s">
        <v>396</v>
      </c>
      <c r="C13" s="103" t="s">
        <v>387</v>
      </c>
      <c r="D13" s="106">
        <v>1509</v>
      </c>
      <c r="E13" s="104"/>
      <c r="F13" s="97" t="s">
        <v>149</v>
      </c>
      <c r="G13" s="97" t="s">
        <v>146</v>
      </c>
      <c r="H13" s="97" t="s">
        <v>365</v>
      </c>
      <c r="I13" s="97" t="s">
        <v>54</v>
      </c>
      <c r="J13" s="97" t="s">
        <v>54</v>
      </c>
      <c r="K13" s="97" t="s">
        <v>54</v>
      </c>
      <c r="L13" s="97" t="s">
        <v>384</v>
      </c>
      <c r="M13" s="97" t="s">
        <v>63</v>
      </c>
      <c r="N13" s="105" t="s">
        <v>58</v>
      </c>
      <c r="O13" s="98" t="s">
        <v>63</v>
      </c>
      <c r="P13" s="97" t="s">
        <v>54</v>
      </c>
      <c r="Q13" s="97" t="s">
        <v>367</v>
      </c>
      <c r="R13" s="97" t="s">
        <v>132</v>
      </c>
      <c r="S13" s="98" t="s">
        <v>392</v>
      </c>
      <c r="T13" s="97" t="s">
        <v>63</v>
      </c>
      <c r="U13" s="82">
        <f>70/1300</f>
        <v>0.0538461538461538</v>
      </c>
    </row>
    <row r="14" s="82" customFormat="1" spans="2:21">
      <c r="B14" s="102"/>
      <c r="C14" s="103" t="s">
        <v>389</v>
      </c>
      <c r="D14" s="106" t="e">
        <f>项目基准价!$C$13*PRODUCT(赋权表!F14:T14)</f>
        <v>#REF!</v>
      </c>
      <c r="E14" s="104" t="e">
        <f>D13/D14-1</f>
        <v>#REF!</v>
      </c>
      <c r="F14" s="113" t="e">
        <f t="shared" ref="F14:K14" si="1">F8</f>
        <v>#REF!</v>
      </c>
      <c r="G14" s="113">
        <f t="shared" si="1"/>
        <v>1</v>
      </c>
      <c r="H14" s="113">
        <f t="shared" si="1"/>
        <v>0.96</v>
      </c>
      <c r="I14" s="113">
        <f t="shared" si="1"/>
        <v>1</v>
      </c>
      <c r="J14" s="113">
        <f t="shared" si="1"/>
        <v>1</v>
      </c>
      <c r="K14" s="113">
        <f t="shared" si="1"/>
        <v>1</v>
      </c>
      <c r="L14" s="105" t="e">
        <f>L12</f>
        <v>#REF!</v>
      </c>
      <c r="M14" s="113" t="e">
        <f>M8</f>
        <v>#REF!</v>
      </c>
      <c r="N14" s="105">
        <f>【1】定价因子!F9</f>
        <v>1.1</v>
      </c>
      <c r="O14" s="113" t="e">
        <f>O8</f>
        <v>#REF!</v>
      </c>
      <c r="P14" s="113">
        <f>P8</f>
        <v>1</v>
      </c>
      <c r="Q14" s="113">
        <f>Q8</f>
        <v>1</v>
      </c>
      <c r="R14" s="113">
        <f>R10</f>
        <v>1.04</v>
      </c>
      <c r="S14" s="113">
        <f>S10</f>
        <v>1.06</v>
      </c>
      <c r="T14" s="113">
        <f>T8</f>
        <v>1</v>
      </c>
    </row>
    <row r="15" s="82" customFormat="1" ht="26.4" spans="2:21">
      <c r="B15" s="102" t="s">
        <v>397</v>
      </c>
      <c r="C15" s="103" t="s">
        <v>387</v>
      </c>
      <c r="D15" s="117">
        <v>1519</v>
      </c>
      <c r="E15" s="104"/>
      <c r="F15" s="97" t="s">
        <v>149</v>
      </c>
      <c r="G15" s="97" t="s">
        <v>146</v>
      </c>
      <c r="H15" s="97" t="s">
        <v>383</v>
      </c>
      <c r="I15" s="97" t="s">
        <v>54</v>
      </c>
      <c r="J15" s="97" t="s">
        <v>54</v>
      </c>
      <c r="K15" s="97" t="s">
        <v>54</v>
      </c>
      <c r="L15" s="97" t="s">
        <v>366</v>
      </c>
      <c r="M15" s="97" t="s">
        <v>63</v>
      </c>
      <c r="N15" s="97" t="s">
        <v>380</v>
      </c>
      <c r="O15" s="97" t="s">
        <v>63</v>
      </c>
      <c r="P15" s="97" t="s">
        <v>54</v>
      </c>
      <c r="Q15" s="118" t="s">
        <v>398</v>
      </c>
      <c r="R15" s="97" t="s">
        <v>63</v>
      </c>
      <c r="S15" s="115" t="s">
        <v>399</v>
      </c>
      <c r="T15" s="97" t="s">
        <v>63</v>
      </c>
    </row>
    <row r="16" s="82" customFormat="1" spans="2:21">
      <c r="B16" s="102"/>
      <c r="C16" s="103" t="s">
        <v>389</v>
      </c>
      <c r="D16" s="106" t="e">
        <f>项目基准价!$C$15*PRODUCT(赋权表!F16:T16)</f>
        <v>#REF!</v>
      </c>
      <c r="E16" s="119" t="e">
        <f>D15/D16-1</f>
        <v>#REF!</v>
      </c>
      <c r="F16" s="113" t="e">
        <f>F14</f>
        <v>#REF!</v>
      </c>
      <c r="G16" s="113">
        <f>G14</f>
        <v>1</v>
      </c>
      <c r="H16" s="113" t="e">
        <f t="shared" ref="H16:P16" si="2">H10</f>
        <v>#REF!</v>
      </c>
      <c r="I16" s="113">
        <f t="shared" si="2"/>
        <v>1</v>
      </c>
      <c r="J16" s="113">
        <f t="shared" si="2"/>
        <v>1</v>
      </c>
      <c r="K16" s="113">
        <f t="shared" si="2"/>
        <v>1</v>
      </c>
      <c r="L16" s="113" t="e">
        <f t="shared" si="2"/>
        <v>#REF!</v>
      </c>
      <c r="M16" s="113" t="e">
        <f t="shared" si="2"/>
        <v>#REF!</v>
      </c>
      <c r="N16" s="113">
        <f t="shared" si="2"/>
        <v>1.06</v>
      </c>
      <c r="O16" s="113" t="e">
        <f t="shared" si="2"/>
        <v>#REF!</v>
      </c>
      <c r="P16" s="113">
        <f t="shared" si="2"/>
        <v>1</v>
      </c>
      <c r="Q16" s="113">
        <f>【1】定价因子!F30</f>
        <v>0.87</v>
      </c>
      <c r="R16" s="113">
        <f>R8</f>
        <v>1</v>
      </c>
      <c r="S16" s="115">
        <f>【1】定价因子!F49</f>
        <v>0.96</v>
      </c>
      <c r="T16" s="113">
        <f>T8</f>
        <v>1</v>
      </c>
    </row>
    <row r="17" s="82" customFormat="1" ht="26.4" spans="1:20">
      <c r="B17" s="102" t="s">
        <v>400</v>
      </c>
      <c r="C17" s="103" t="s">
        <v>387</v>
      </c>
      <c r="D17" s="106">
        <v>1099</v>
      </c>
      <c r="E17" s="104"/>
      <c r="F17" s="97" t="s">
        <v>149</v>
      </c>
      <c r="G17" s="97" t="s">
        <v>146</v>
      </c>
      <c r="H17" s="97" t="s">
        <v>383</v>
      </c>
      <c r="I17" s="97" t="s">
        <v>54</v>
      </c>
      <c r="J17" s="97" t="s">
        <v>54</v>
      </c>
      <c r="K17" s="97" t="s">
        <v>54</v>
      </c>
      <c r="L17" s="97" t="s">
        <v>366</v>
      </c>
      <c r="M17" s="97" t="s">
        <v>63</v>
      </c>
      <c r="N17" s="113" t="s">
        <v>65</v>
      </c>
      <c r="O17" s="97" t="s">
        <v>63</v>
      </c>
      <c r="P17" s="97" t="s">
        <v>54</v>
      </c>
      <c r="Q17" s="118" t="s">
        <v>398</v>
      </c>
      <c r="R17" s="97" t="s">
        <v>63</v>
      </c>
      <c r="S17" s="115" t="s">
        <v>399</v>
      </c>
      <c r="T17" s="97" t="s">
        <v>63</v>
      </c>
    </row>
    <row r="18" s="82" customFormat="1" spans="1:20">
      <c r="B18" s="102"/>
      <c r="C18" s="103" t="s">
        <v>389</v>
      </c>
      <c r="D18" s="106" t="e">
        <f>项目基准价!$C$13*PRODUCT(赋权表!F18:T18)</f>
        <v>#REF!</v>
      </c>
      <c r="E18" s="119" t="e">
        <f>D17/D18-1</f>
        <v>#REF!</v>
      </c>
      <c r="F18" s="113" t="e">
        <f>F16</f>
        <v>#REF!</v>
      </c>
      <c r="G18" s="113">
        <f t="shared" ref="G18:M18" si="3">G16</f>
        <v>1</v>
      </c>
      <c r="H18" s="113" t="e">
        <f t="shared" si="3"/>
        <v>#REF!</v>
      </c>
      <c r="I18" s="113">
        <f t="shared" si="3"/>
        <v>1</v>
      </c>
      <c r="J18" s="113">
        <f t="shared" si="3"/>
        <v>1</v>
      </c>
      <c r="K18" s="113">
        <f t="shared" si="3"/>
        <v>1</v>
      </c>
      <c r="L18" s="113" t="e">
        <f t="shared" si="3"/>
        <v>#REF!</v>
      </c>
      <c r="M18" s="113" t="e">
        <f t="shared" si="3"/>
        <v>#REF!</v>
      </c>
      <c r="N18" s="113">
        <f>【1】定价因子!F12</f>
        <v>0.95</v>
      </c>
      <c r="O18" s="113" t="e">
        <f>O16</f>
        <v>#REF!</v>
      </c>
      <c r="P18" s="113">
        <f t="shared" ref="P18:T18" si="4">P16</f>
        <v>1</v>
      </c>
      <c r="Q18" s="113">
        <f t="shared" si="4"/>
        <v>0.87</v>
      </c>
      <c r="R18" s="113">
        <f t="shared" si="4"/>
        <v>1</v>
      </c>
      <c r="S18" s="113">
        <f t="shared" si="4"/>
        <v>0.96</v>
      </c>
      <c r="T18" s="113">
        <f t="shared" si="4"/>
        <v>1</v>
      </c>
    </row>
    <row r="19" s="82" customFormat="1" spans="1:20">
      <c r="B19" s="102" t="s">
        <v>401</v>
      </c>
      <c r="C19" s="103" t="s">
        <v>387</v>
      </c>
      <c r="D19" s="106">
        <v>2199</v>
      </c>
      <c r="E19" s="104"/>
      <c r="F19" s="97" t="s">
        <v>149</v>
      </c>
      <c r="G19" s="97" t="s">
        <v>146</v>
      </c>
      <c r="H19" s="113" t="s">
        <v>402</v>
      </c>
      <c r="I19" s="97" t="s">
        <v>54</v>
      </c>
      <c r="J19" s="97" t="s">
        <v>54</v>
      </c>
      <c r="K19" s="115" t="s">
        <v>51</v>
      </c>
      <c r="L19" s="97" t="s">
        <v>384</v>
      </c>
      <c r="M19" s="97" t="s">
        <v>63</v>
      </c>
      <c r="N19" s="105" t="s">
        <v>58</v>
      </c>
      <c r="O19" s="98" t="s">
        <v>63</v>
      </c>
      <c r="P19" s="97" t="s">
        <v>54</v>
      </c>
      <c r="Q19" s="118" t="s">
        <v>403</v>
      </c>
      <c r="R19" s="97" t="s">
        <v>63</v>
      </c>
      <c r="S19" s="120" t="s">
        <v>392</v>
      </c>
      <c r="T19" s="98" t="s">
        <v>154</v>
      </c>
    </row>
    <row r="20" s="82" customFormat="1" spans="1:20">
      <c r="B20" s="102"/>
      <c r="C20" s="103" t="s">
        <v>389</v>
      </c>
      <c r="D20" s="106" t="e">
        <f>项目基准价!$C$15*PRODUCT(赋权表!F20:T20)</f>
        <v>#REF!</v>
      </c>
      <c r="E20" s="104" t="e">
        <f>D19/D20-1</f>
        <v>#REF!</v>
      </c>
      <c r="F20" s="113" t="e">
        <f>F18</f>
        <v>#REF!</v>
      </c>
      <c r="G20" s="113">
        <f>G18</f>
        <v>1</v>
      </c>
      <c r="H20" s="113" t="e">
        <f>【1】定价因子!#REF!</f>
        <v>#REF!</v>
      </c>
      <c r="I20" s="113">
        <f>I12</f>
        <v>1</v>
      </c>
      <c r="J20" s="113">
        <f>J12</f>
        <v>1</v>
      </c>
      <c r="K20" s="113">
        <f>K12</f>
        <v>1.05</v>
      </c>
      <c r="L20" s="113" t="e">
        <f>L12</f>
        <v>#REF!</v>
      </c>
      <c r="M20" s="113" t="e">
        <f>M12</f>
        <v>#REF!</v>
      </c>
      <c r="N20" s="113">
        <f>N14</f>
        <v>1.1</v>
      </c>
      <c r="O20" s="113" t="e">
        <f t="shared" ref="O20:P20" si="5">O14</f>
        <v>#REF!</v>
      </c>
      <c r="P20" s="113">
        <f t="shared" si="5"/>
        <v>1</v>
      </c>
      <c r="Q20" s="113">
        <f>Q12</f>
        <v>1.03</v>
      </c>
      <c r="R20" s="113">
        <f>R12</f>
        <v>1</v>
      </c>
      <c r="S20" s="113">
        <f>S14</f>
        <v>1.06</v>
      </c>
      <c r="T20" s="113">
        <f>【1】定价因子!F69</f>
        <v>1.02</v>
      </c>
    </row>
    <row r="21" s="82" customFormat="1" ht="13.8" spans="1:20">
      <c r="B21" s="121" t="s">
        <v>404</v>
      </c>
      <c r="C21" s="103" t="s">
        <v>387</v>
      </c>
      <c r="D21" s="106">
        <v>839</v>
      </c>
      <c r="E21" s="104"/>
      <c r="F21" s="97" t="s">
        <v>149</v>
      </c>
      <c r="G21" s="97" t="s">
        <v>146</v>
      </c>
      <c r="H21" s="113" t="s">
        <v>402</v>
      </c>
      <c r="I21" s="97" t="s">
        <v>54</v>
      </c>
      <c r="J21" s="97" t="s">
        <v>54</v>
      </c>
      <c r="K21" s="115" t="s">
        <v>51</v>
      </c>
      <c r="L21" s="97" t="s">
        <v>384</v>
      </c>
      <c r="M21" s="97" t="s">
        <v>63</v>
      </c>
      <c r="N21" s="122" t="s">
        <v>405</v>
      </c>
      <c r="O21" s="98" t="s">
        <v>63</v>
      </c>
      <c r="P21" s="97" t="s">
        <v>54</v>
      </c>
      <c r="Q21" s="118" t="s">
        <v>403</v>
      </c>
      <c r="R21" s="122" t="s">
        <v>406</v>
      </c>
      <c r="S21" s="120" t="s">
        <v>392</v>
      </c>
      <c r="T21" s="98" t="s">
        <v>154</v>
      </c>
    </row>
    <row r="22" s="82" customFormat="1" spans="1:20">
      <c r="B22" s="102"/>
      <c r="C22" s="103" t="s">
        <v>389</v>
      </c>
      <c r="D22" s="117" t="e">
        <f>项目基准价!$C$14*PRODUCT(赋权表!F22:T22)</f>
        <v>#REF!</v>
      </c>
      <c r="E22" s="119" t="e">
        <f>D21/D22-1</f>
        <v>#REF!</v>
      </c>
      <c r="F22" s="113" t="e">
        <f>F20</f>
        <v>#REF!</v>
      </c>
      <c r="G22" s="113">
        <f t="shared" ref="G22:M22" si="6">G20</f>
        <v>1</v>
      </c>
      <c r="H22" s="113" t="e">
        <f t="shared" si="6"/>
        <v>#REF!</v>
      </c>
      <c r="I22" s="113">
        <f t="shared" si="6"/>
        <v>1</v>
      </c>
      <c r="J22" s="113">
        <f t="shared" si="6"/>
        <v>1</v>
      </c>
      <c r="K22" s="113">
        <f t="shared" si="6"/>
        <v>1.05</v>
      </c>
      <c r="L22" s="113" t="e">
        <f t="shared" si="6"/>
        <v>#REF!</v>
      </c>
      <c r="M22" s="113" t="e">
        <f t="shared" si="6"/>
        <v>#REF!</v>
      </c>
      <c r="N22" s="123">
        <v>0.86</v>
      </c>
      <c r="O22" s="113" t="e">
        <f>O20</f>
        <v>#REF!</v>
      </c>
      <c r="P22" s="113">
        <f>P20</f>
        <v>1</v>
      </c>
      <c r="Q22" s="113">
        <f>Q20</f>
        <v>1.03</v>
      </c>
      <c r="R22" s="123">
        <v>0.9</v>
      </c>
      <c r="S22" s="113">
        <f>S20</f>
        <v>1.06</v>
      </c>
      <c r="T22" s="113">
        <f>T20</f>
        <v>1.02</v>
      </c>
    </row>
    <row r="23" s="82" customFormat="1" spans="1:20">
      <c r="B23" s="102" t="s">
        <v>407</v>
      </c>
      <c r="C23" s="103" t="s">
        <v>387</v>
      </c>
      <c r="D23" s="106">
        <v>1379</v>
      </c>
      <c r="E23" s="104"/>
      <c r="F23" s="97" t="s">
        <v>149</v>
      </c>
      <c r="G23" s="97" t="s">
        <v>146</v>
      </c>
      <c r="H23" s="109" t="s">
        <v>394</v>
      </c>
      <c r="I23" s="97" t="s">
        <v>54</v>
      </c>
      <c r="J23" s="97" t="s">
        <v>54</v>
      </c>
      <c r="K23" s="109" t="s">
        <v>51</v>
      </c>
      <c r="L23" s="97" t="s">
        <v>384</v>
      </c>
      <c r="M23" s="97" t="s">
        <v>63</v>
      </c>
      <c r="N23" s="97" t="s">
        <v>63</v>
      </c>
      <c r="O23" s="98" t="s">
        <v>63</v>
      </c>
      <c r="P23" s="97" t="s">
        <v>161</v>
      </c>
      <c r="Q23" s="118" t="s">
        <v>408</v>
      </c>
      <c r="R23" s="97" t="s">
        <v>63</v>
      </c>
      <c r="S23" s="120" t="s">
        <v>392</v>
      </c>
      <c r="T23" s="97" t="s">
        <v>63</v>
      </c>
    </row>
    <row r="24" s="82" customFormat="1" spans="1:20">
      <c r="B24" s="102"/>
      <c r="C24" s="103" t="s">
        <v>389</v>
      </c>
      <c r="D24" s="106" t="e">
        <f>项目基准价!$C$14*PRODUCT(赋权表!F24:T24)</f>
        <v>#REF!</v>
      </c>
      <c r="E24" s="104" t="e">
        <f>D23/D24-1</f>
        <v>#REF!</v>
      </c>
      <c r="F24" s="113" t="e">
        <f>F12</f>
        <v>#REF!</v>
      </c>
      <c r="G24" s="113">
        <f>G12</f>
        <v>1</v>
      </c>
      <c r="H24" s="113">
        <f t="shared" ref="H24:N24" si="7">H12</f>
        <v>1.04</v>
      </c>
      <c r="I24" s="113">
        <f t="shared" si="7"/>
        <v>1</v>
      </c>
      <c r="J24" s="113">
        <f t="shared" si="7"/>
        <v>1</v>
      </c>
      <c r="K24" s="113">
        <f t="shared" si="7"/>
        <v>1.05</v>
      </c>
      <c r="L24" s="113" t="e">
        <f t="shared" si="7"/>
        <v>#REF!</v>
      </c>
      <c r="M24" s="113" t="e">
        <f t="shared" si="7"/>
        <v>#REF!</v>
      </c>
      <c r="N24" s="113">
        <f t="shared" si="7"/>
        <v>1</v>
      </c>
      <c r="O24" s="115" t="e">
        <f>O22</f>
        <v>#REF!</v>
      </c>
      <c r="P24" s="105">
        <f>P12</f>
        <v>1.07</v>
      </c>
      <c r="Q24" s="113">
        <f>【1】定价因子!F34</f>
        <v>1.02</v>
      </c>
      <c r="R24" s="113">
        <f>R12</f>
        <v>1</v>
      </c>
      <c r="S24" s="113">
        <f t="shared" ref="S24:T24" si="8">S12</f>
        <v>1.06</v>
      </c>
      <c r="T24" s="113">
        <f t="shared" si="8"/>
        <v>1</v>
      </c>
    </row>
    <row r="25" s="82" customFormat="1" spans="1:20">
      <c r="A25" s="82" t="s">
        <v>409</v>
      </c>
      <c r="B25" s="102" t="s">
        <v>410</v>
      </c>
      <c r="C25" s="103" t="s">
        <v>387</v>
      </c>
      <c r="D25" s="106">
        <v>1439</v>
      </c>
      <c r="E25" s="104"/>
      <c r="F25" s="97" t="s">
        <v>149</v>
      </c>
      <c r="G25" s="97" t="s">
        <v>146</v>
      </c>
      <c r="H25" s="97" t="s">
        <v>365</v>
      </c>
      <c r="I25" s="97" t="s">
        <v>54</v>
      </c>
      <c r="J25" s="97" t="s">
        <v>54</v>
      </c>
      <c r="K25" s="97" t="s">
        <v>54</v>
      </c>
      <c r="L25" s="97" t="s">
        <v>366</v>
      </c>
      <c r="M25" s="97" t="s">
        <v>63</v>
      </c>
      <c r="N25" s="97" t="s">
        <v>380</v>
      </c>
      <c r="O25" s="97" t="s">
        <v>63</v>
      </c>
      <c r="P25" s="124" t="s">
        <v>411</v>
      </c>
      <c r="Q25" s="113" t="s">
        <v>391</v>
      </c>
      <c r="R25" s="97" t="s">
        <v>63</v>
      </c>
      <c r="S25" s="120" t="s">
        <v>392</v>
      </c>
      <c r="T25" s="97" t="s">
        <v>63</v>
      </c>
    </row>
    <row r="26" s="82" customFormat="1" spans="1:20">
      <c r="B26" s="102"/>
      <c r="C26" s="103" t="s">
        <v>389</v>
      </c>
      <c r="D26" s="106" t="e">
        <f>项目基准价!$C$14*PRODUCT(赋权表!F26:T26)</f>
        <v>#REF!</v>
      </c>
      <c r="E26" s="104" t="e">
        <f>D25/D26-1</f>
        <v>#REF!</v>
      </c>
      <c r="F26" s="113" t="e">
        <f>F14</f>
        <v>#REF!</v>
      </c>
      <c r="G26" s="113">
        <f t="shared" ref="G26:M26" si="9">G14</f>
        <v>1</v>
      </c>
      <c r="H26" s="113">
        <f t="shared" si="9"/>
        <v>0.96</v>
      </c>
      <c r="I26" s="113">
        <f t="shared" si="9"/>
        <v>1</v>
      </c>
      <c r="J26" s="113">
        <f t="shared" si="9"/>
        <v>1</v>
      </c>
      <c r="K26" s="113">
        <f t="shared" si="9"/>
        <v>1</v>
      </c>
      <c r="L26" s="113" t="e">
        <f>L18</f>
        <v>#REF!</v>
      </c>
      <c r="M26" s="113" t="e">
        <f t="shared" si="9"/>
        <v>#REF!</v>
      </c>
      <c r="N26" s="113">
        <f>N16</f>
        <v>1.06</v>
      </c>
      <c r="O26" s="113" t="e">
        <f>O16</f>
        <v>#REF!</v>
      </c>
      <c r="P26" s="105">
        <f>【1】定价因子!F14</f>
        <v>0</v>
      </c>
      <c r="Q26" s="113">
        <f>【1】定价因子!F22</f>
        <v>1.01</v>
      </c>
      <c r="R26" s="113">
        <f>R24</f>
        <v>1</v>
      </c>
      <c r="S26" s="113">
        <f>S24</f>
        <v>1.06</v>
      </c>
      <c r="T26" s="113">
        <f t="shared" ref="T26" si="10">T24</f>
        <v>1</v>
      </c>
    </row>
    <row r="27" s="82" customFormat="1" spans="1:20">
      <c r="B27" s="102" t="s">
        <v>412</v>
      </c>
      <c r="C27" s="103" t="s">
        <v>387</v>
      </c>
      <c r="D27" s="106">
        <v>1799</v>
      </c>
      <c r="E27" s="104"/>
      <c r="F27" s="97" t="s">
        <v>149</v>
      </c>
      <c r="G27" s="97" t="s">
        <v>146</v>
      </c>
      <c r="H27" s="97" t="s">
        <v>365</v>
      </c>
      <c r="I27" s="97" t="s">
        <v>54</v>
      </c>
      <c r="J27" s="97" t="s">
        <v>54</v>
      </c>
      <c r="K27" s="97" t="s">
        <v>54</v>
      </c>
      <c r="L27" s="97" t="s">
        <v>366</v>
      </c>
      <c r="M27" s="97" t="s">
        <v>379</v>
      </c>
      <c r="N27" s="97" t="s">
        <v>63</v>
      </c>
      <c r="O27" s="98" t="s">
        <v>63</v>
      </c>
      <c r="P27" s="97" t="s">
        <v>54</v>
      </c>
      <c r="Q27" s="97" t="s">
        <v>413</v>
      </c>
      <c r="R27" s="97" t="s">
        <v>63</v>
      </c>
      <c r="S27" s="97" t="s">
        <v>63</v>
      </c>
      <c r="T27" s="97" t="s">
        <v>63</v>
      </c>
    </row>
    <row r="28" s="82" customFormat="1" spans="1:20">
      <c r="B28" s="102"/>
      <c r="C28" s="103" t="s">
        <v>389</v>
      </c>
      <c r="D28" s="106" t="e">
        <f>项目基准价!$C$15*PRODUCT(赋权表!F28:T28)</f>
        <v>#REF!</v>
      </c>
      <c r="E28" s="104" t="e">
        <f>D27/D28-1</f>
        <v>#REF!</v>
      </c>
      <c r="F28" s="113" t="e">
        <f>F26</f>
        <v>#REF!</v>
      </c>
      <c r="G28" s="113">
        <f t="shared" ref="G28:L28" si="11">G26</f>
        <v>1</v>
      </c>
      <c r="H28" s="113">
        <f t="shared" si="11"/>
        <v>0.96</v>
      </c>
      <c r="I28" s="113">
        <f t="shared" si="11"/>
        <v>1</v>
      </c>
      <c r="J28" s="113">
        <f t="shared" si="11"/>
        <v>1</v>
      </c>
      <c r="K28" s="113">
        <f t="shared" si="11"/>
        <v>1</v>
      </c>
      <c r="L28" s="113" t="e">
        <f t="shared" si="11"/>
        <v>#REF!</v>
      </c>
      <c r="M28" s="113" t="e">
        <f>【1】定价因子!#REF!</f>
        <v>#REF!</v>
      </c>
      <c r="N28" s="113">
        <f>N24</f>
        <v>1</v>
      </c>
      <c r="O28" s="113" t="e">
        <f t="shared" ref="O28" si="12">O24</f>
        <v>#REF!</v>
      </c>
      <c r="P28" s="113">
        <f>P22</f>
        <v>1</v>
      </c>
      <c r="Q28" s="113">
        <f>【1】定价因子!F21</f>
        <v>1.02</v>
      </c>
      <c r="R28" s="113">
        <f>R26</f>
        <v>1</v>
      </c>
      <c r="S28" s="113">
        <f>【1】定价因子!F47</f>
        <v>1.03</v>
      </c>
      <c r="T28" s="113">
        <f>T26</f>
        <v>1</v>
      </c>
    </row>
    <row r="29" s="82" customFormat="1" spans="1:20">
      <c r="B29" s="102" t="s">
        <v>414</v>
      </c>
      <c r="C29" s="103" t="s">
        <v>387</v>
      </c>
      <c r="D29" s="106">
        <v>1999</v>
      </c>
      <c r="E29" s="104"/>
      <c r="F29" s="97" t="s">
        <v>149</v>
      </c>
      <c r="G29" s="97" t="s">
        <v>146</v>
      </c>
      <c r="H29" s="97" t="s">
        <v>365</v>
      </c>
      <c r="I29" s="97" t="s">
        <v>54</v>
      </c>
      <c r="J29" s="97" t="s">
        <v>54</v>
      </c>
      <c r="K29" s="97" t="s">
        <v>54</v>
      </c>
      <c r="L29" s="97" t="s">
        <v>366</v>
      </c>
      <c r="M29" s="97" t="s">
        <v>379</v>
      </c>
      <c r="N29" s="97" t="s">
        <v>63</v>
      </c>
      <c r="O29" s="98" t="s">
        <v>63</v>
      </c>
      <c r="P29" s="98" t="s">
        <v>163</v>
      </c>
      <c r="Q29" s="97" t="s">
        <v>413</v>
      </c>
      <c r="R29" s="97" t="s">
        <v>63</v>
      </c>
      <c r="S29" s="97" t="s">
        <v>63</v>
      </c>
      <c r="T29" s="98" t="s">
        <v>152</v>
      </c>
    </row>
    <row r="30" s="82" customFormat="1" spans="1:20">
      <c r="B30" s="102"/>
      <c r="C30" s="103" t="s">
        <v>389</v>
      </c>
      <c r="D30" s="106" t="e">
        <f>项目基准价!$C$15*PRODUCT(赋权表!F30:T30)</f>
        <v>#REF!</v>
      </c>
      <c r="E30" s="104" t="e">
        <f>D29/D30-1</f>
        <v>#REF!</v>
      </c>
      <c r="F30" s="113" t="e">
        <f>F28</f>
        <v>#REF!</v>
      </c>
      <c r="G30" s="113">
        <f t="shared" ref="G30:O30" si="13">G28</f>
        <v>1</v>
      </c>
      <c r="H30" s="113">
        <f t="shared" si="13"/>
        <v>0.96</v>
      </c>
      <c r="I30" s="113">
        <f t="shared" si="13"/>
        <v>1</v>
      </c>
      <c r="J30" s="113">
        <f t="shared" si="13"/>
        <v>1</v>
      </c>
      <c r="K30" s="113">
        <f t="shared" si="13"/>
        <v>1</v>
      </c>
      <c r="L30" s="113" t="e">
        <f t="shared" si="13"/>
        <v>#REF!</v>
      </c>
      <c r="M30" s="113" t="e">
        <f t="shared" si="13"/>
        <v>#REF!</v>
      </c>
      <c r="N30" s="113">
        <f t="shared" si="13"/>
        <v>1</v>
      </c>
      <c r="O30" s="113" t="e">
        <f t="shared" si="13"/>
        <v>#REF!</v>
      </c>
      <c r="P30" s="113">
        <f>【1】定价因子!F15</f>
        <v>0</v>
      </c>
      <c r="Q30" s="113">
        <f>Q28</f>
        <v>1.02</v>
      </c>
      <c r="R30" s="113">
        <f t="shared" ref="R30:S30" si="14">R28</f>
        <v>1</v>
      </c>
      <c r="S30" s="113">
        <f t="shared" si="14"/>
        <v>1.03</v>
      </c>
      <c r="T30" s="113">
        <f>【1】定价因子!F68</f>
        <v>1.045</v>
      </c>
    </row>
    <row r="31" s="82" customFormat="1" ht="26.4" spans="1:20">
      <c r="B31" s="102" t="s">
        <v>415</v>
      </c>
      <c r="C31" s="103" t="s">
        <v>387</v>
      </c>
      <c r="D31" s="117">
        <v>1569</v>
      </c>
      <c r="E31" s="104"/>
      <c r="F31" s="97" t="s">
        <v>149</v>
      </c>
      <c r="G31" s="97" t="s">
        <v>146</v>
      </c>
      <c r="H31" s="97" t="s">
        <v>383</v>
      </c>
      <c r="I31" s="97" t="s">
        <v>54</v>
      </c>
      <c r="J31" s="97" t="s">
        <v>54</v>
      </c>
      <c r="K31" s="97" t="s">
        <v>54</v>
      </c>
      <c r="L31" s="97" t="s">
        <v>366</v>
      </c>
      <c r="M31" s="97" t="s">
        <v>63</v>
      </c>
      <c r="N31" s="97" t="s">
        <v>63</v>
      </c>
      <c r="O31" s="98" t="s">
        <v>63</v>
      </c>
      <c r="P31" s="98" t="s">
        <v>163</v>
      </c>
      <c r="Q31" s="113" t="s">
        <v>391</v>
      </c>
      <c r="R31" s="120" t="s">
        <v>112</v>
      </c>
      <c r="S31" s="98" t="s">
        <v>388</v>
      </c>
      <c r="T31" s="97" t="s">
        <v>63</v>
      </c>
    </row>
    <row r="32" s="82" customFormat="1" spans="1:20">
      <c r="A32" s="82" t="s">
        <v>416</v>
      </c>
      <c r="B32" s="102"/>
      <c r="C32" s="103" t="s">
        <v>389</v>
      </c>
      <c r="D32" s="106" t="e">
        <f>项目基准价!$C$16*PRODUCT(赋权表!F32:T32)</f>
        <v>#REF!</v>
      </c>
      <c r="E32" s="119" t="e">
        <f>D31/D32-1</f>
        <v>#REF!</v>
      </c>
      <c r="F32" s="113" t="e">
        <f>F18</f>
        <v>#REF!</v>
      </c>
      <c r="G32" s="113">
        <f t="shared" ref="G32:M32" si="15">G18</f>
        <v>1</v>
      </c>
      <c r="H32" s="113" t="e">
        <f t="shared" si="15"/>
        <v>#REF!</v>
      </c>
      <c r="I32" s="113">
        <f t="shared" si="15"/>
        <v>1</v>
      </c>
      <c r="J32" s="113">
        <f t="shared" si="15"/>
        <v>1</v>
      </c>
      <c r="K32" s="113">
        <f t="shared" si="15"/>
        <v>1</v>
      </c>
      <c r="L32" s="113" t="e">
        <f t="shared" si="15"/>
        <v>#REF!</v>
      </c>
      <c r="M32" s="113" t="e">
        <f t="shared" si="15"/>
        <v>#REF!</v>
      </c>
      <c r="N32" s="113">
        <f>N30</f>
        <v>1</v>
      </c>
      <c r="O32" s="113" t="e">
        <f>O30</f>
        <v>#REF!</v>
      </c>
      <c r="P32" s="113">
        <f>P30</f>
        <v>0</v>
      </c>
      <c r="Q32" s="113">
        <f>Q30</f>
        <v>1.02</v>
      </c>
      <c r="R32" s="113"/>
      <c r="S32" s="113">
        <f>S8</f>
        <v>1</v>
      </c>
      <c r="T32" s="113">
        <f>T28</f>
        <v>1</v>
      </c>
    </row>
    <row r="33" s="82" customFormat="1" spans="1:20">
      <c r="B33" s="121" t="s">
        <v>417</v>
      </c>
      <c r="C33" s="103" t="s">
        <v>387</v>
      </c>
      <c r="D33" s="106">
        <v>2299</v>
      </c>
      <c r="E33" s="125"/>
      <c r="F33" s="97" t="s">
        <v>149</v>
      </c>
      <c r="G33" s="97" t="s">
        <v>146</v>
      </c>
      <c r="H33" s="109" t="s">
        <v>394</v>
      </c>
      <c r="I33" s="97" t="s">
        <v>54</v>
      </c>
      <c r="J33" s="97" t="s">
        <v>54</v>
      </c>
      <c r="K33" s="109" t="s">
        <v>51</v>
      </c>
      <c r="L33" s="97" t="s">
        <v>384</v>
      </c>
      <c r="M33" s="97" t="s">
        <v>63</v>
      </c>
      <c r="N33" s="97" t="s">
        <v>380</v>
      </c>
      <c r="O33" s="98" t="s">
        <v>63</v>
      </c>
      <c r="P33" s="97" t="s">
        <v>161</v>
      </c>
      <c r="Q33" s="113" t="s">
        <v>395</v>
      </c>
      <c r="R33" s="97" t="s">
        <v>63</v>
      </c>
      <c r="S33" s="120" t="s">
        <v>392</v>
      </c>
      <c r="T33" s="98" t="s">
        <v>154</v>
      </c>
    </row>
    <row r="34" s="82" customFormat="1" spans="1:20">
      <c r="B34" s="102"/>
      <c r="C34" s="103" t="s">
        <v>389</v>
      </c>
      <c r="D34" s="106" t="e">
        <f>项目基准价!$C$15*PRODUCT(赋权表!F34:T34)</f>
        <v>#REF!</v>
      </c>
      <c r="E34" s="104" t="e">
        <f>D33/D34-1</f>
        <v>#REF!</v>
      </c>
      <c r="F34" s="113" t="e">
        <f>F24</f>
        <v>#REF!</v>
      </c>
      <c r="G34" s="113">
        <f t="shared" ref="G34:M34" si="16">G24</f>
        <v>1</v>
      </c>
      <c r="H34" s="113">
        <f t="shared" si="16"/>
        <v>1.04</v>
      </c>
      <c r="I34" s="113">
        <f t="shared" si="16"/>
        <v>1</v>
      </c>
      <c r="J34" s="113">
        <f t="shared" si="16"/>
        <v>1</v>
      </c>
      <c r="K34" s="113">
        <f t="shared" si="16"/>
        <v>1.05</v>
      </c>
      <c r="L34" s="113" t="e">
        <f t="shared" si="16"/>
        <v>#REF!</v>
      </c>
      <c r="M34" s="113" t="e">
        <f t="shared" si="16"/>
        <v>#REF!</v>
      </c>
      <c r="N34" s="113">
        <f>N26</f>
        <v>1.06</v>
      </c>
      <c r="O34" s="113" t="e">
        <f>O26</f>
        <v>#REF!</v>
      </c>
      <c r="P34" s="113">
        <f>P24</f>
        <v>1.07</v>
      </c>
      <c r="Q34" s="113">
        <f>【1】定价因子!F35</f>
        <v>1.03</v>
      </c>
      <c r="R34" s="113">
        <f>R30</f>
        <v>1</v>
      </c>
      <c r="S34" s="113">
        <f>S10</f>
        <v>1.06</v>
      </c>
      <c r="T34" s="113">
        <f>T20</f>
        <v>1.02</v>
      </c>
    </row>
    <row r="35" s="82" customFormat="1" spans="1:20">
      <c r="A35" s="82" t="s">
        <v>409</v>
      </c>
      <c r="B35" s="102" t="s">
        <v>418</v>
      </c>
      <c r="C35" s="103" t="s">
        <v>387</v>
      </c>
      <c r="D35" s="106">
        <v>1249</v>
      </c>
      <c r="E35" s="104"/>
      <c r="F35" s="97" t="s">
        <v>149</v>
      </c>
      <c r="G35" s="97" t="s">
        <v>146</v>
      </c>
      <c r="H35" s="97" t="s">
        <v>365</v>
      </c>
      <c r="I35" s="97" t="s">
        <v>54</v>
      </c>
      <c r="J35" s="97" t="s">
        <v>54</v>
      </c>
      <c r="K35" s="97" t="s">
        <v>54</v>
      </c>
      <c r="L35" s="97" t="s">
        <v>366</v>
      </c>
      <c r="M35" s="97" t="s">
        <v>379</v>
      </c>
      <c r="N35" s="97" t="s">
        <v>63</v>
      </c>
      <c r="O35" s="98" t="s">
        <v>63</v>
      </c>
      <c r="P35" s="97" t="s">
        <v>54</v>
      </c>
      <c r="Q35" s="113" t="s">
        <v>419</v>
      </c>
      <c r="R35" s="97" t="s">
        <v>63</v>
      </c>
      <c r="S35" s="120" t="s">
        <v>392</v>
      </c>
      <c r="T35" s="97" t="s">
        <v>63</v>
      </c>
    </row>
    <row r="36" s="82" customFormat="1" spans="1:20">
      <c r="B36" s="102"/>
      <c r="C36" s="103" t="s">
        <v>389</v>
      </c>
      <c r="D36" s="106" t="e">
        <f>项目基准价!$C$14*PRODUCT(赋权表!F36:T36)</f>
        <v>#REF!</v>
      </c>
      <c r="E36" s="104" t="e">
        <f>D35/D36-1</f>
        <v>#REF!</v>
      </c>
      <c r="F36" s="113" t="e">
        <f>F30</f>
        <v>#REF!</v>
      </c>
      <c r="G36" s="113">
        <f t="shared" ref="G36:N36" si="17">G30</f>
        <v>1</v>
      </c>
      <c r="H36" s="113">
        <f t="shared" si="17"/>
        <v>0.96</v>
      </c>
      <c r="I36" s="113">
        <f>I34</f>
        <v>1</v>
      </c>
      <c r="J36" s="113">
        <f t="shared" si="17"/>
        <v>1</v>
      </c>
      <c r="K36" s="113">
        <f t="shared" si="17"/>
        <v>1</v>
      </c>
      <c r="L36" s="113" t="e">
        <f>L32</f>
        <v>#REF!</v>
      </c>
      <c r="M36" s="113" t="e">
        <f t="shared" si="17"/>
        <v>#REF!</v>
      </c>
      <c r="N36" s="113">
        <f t="shared" si="17"/>
        <v>1</v>
      </c>
      <c r="O36" s="113" t="e">
        <f>O34</f>
        <v>#REF!</v>
      </c>
      <c r="P36" s="113">
        <f>P28</f>
        <v>1</v>
      </c>
      <c r="Q36" s="113">
        <f>【1】定价因子!F25</f>
        <v>0.98</v>
      </c>
      <c r="R36" s="113">
        <f>R34</f>
        <v>1</v>
      </c>
      <c r="S36" s="113">
        <f>S34</f>
        <v>1.06</v>
      </c>
      <c r="T36" s="113">
        <f>T32</f>
        <v>1</v>
      </c>
    </row>
    <row r="37" s="82" customFormat="1" spans="1:20">
      <c r="A37" s="82" t="s">
        <v>409</v>
      </c>
      <c r="B37" s="102" t="s">
        <v>420</v>
      </c>
      <c r="C37" s="103" t="s">
        <v>387</v>
      </c>
      <c r="D37" s="106">
        <v>1299</v>
      </c>
      <c r="E37" s="104"/>
      <c r="F37" s="97" t="s">
        <v>149</v>
      </c>
      <c r="G37" s="97" t="s">
        <v>146</v>
      </c>
      <c r="H37" s="97" t="s">
        <v>365</v>
      </c>
      <c r="I37" s="97" t="s">
        <v>54</v>
      </c>
      <c r="J37" s="97" t="s">
        <v>54</v>
      </c>
      <c r="K37" s="97" t="s">
        <v>54</v>
      </c>
      <c r="L37" s="97" t="s">
        <v>366</v>
      </c>
      <c r="M37" s="97" t="s">
        <v>63</v>
      </c>
      <c r="N37" s="97" t="s">
        <v>63</v>
      </c>
      <c r="O37" s="98" t="s">
        <v>63</v>
      </c>
      <c r="P37" s="97" t="s">
        <v>54</v>
      </c>
      <c r="Q37" s="113" t="s">
        <v>385</v>
      </c>
      <c r="R37" s="97" t="s">
        <v>63</v>
      </c>
      <c r="S37" s="97" t="s">
        <v>63</v>
      </c>
      <c r="T37" s="97" t="s">
        <v>63</v>
      </c>
    </row>
    <row r="38" s="82" customFormat="1" spans="1:20">
      <c r="B38" s="102"/>
      <c r="C38" s="103" t="s">
        <v>389</v>
      </c>
      <c r="D38" s="106" t="e">
        <f>项目基准价!$C$14*PRODUCT(赋权表!F38:T38)</f>
        <v>#REF!</v>
      </c>
      <c r="E38" s="119" t="e">
        <f>D37/D38-1</f>
        <v>#REF!</v>
      </c>
      <c r="F38" s="113" t="e">
        <f>F8</f>
        <v>#REF!</v>
      </c>
      <c r="G38" s="113">
        <f t="shared" ref="G38:M38" si="18">G8</f>
        <v>1</v>
      </c>
      <c r="H38" s="113">
        <f t="shared" si="18"/>
        <v>0.96</v>
      </c>
      <c r="I38" s="113">
        <f>I36</f>
        <v>1</v>
      </c>
      <c r="J38" s="113">
        <f t="shared" si="18"/>
        <v>1</v>
      </c>
      <c r="K38" s="113">
        <f t="shared" si="18"/>
        <v>1</v>
      </c>
      <c r="L38" s="113" t="e">
        <f t="shared" si="18"/>
        <v>#REF!</v>
      </c>
      <c r="M38" s="113" t="e">
        <f t="shared" si="18"/>
        <v>#REF!</v>
      </c>
      <c r="N38" s="126">
        <f>N36</f>
        <v>1</v>
      </c>
      <c r="O38" s="126" t="e">
        <f t="shared" ref="O38:P38" si="19">O36</f>
        <v>#REF!</v>
      </c>
      <c r="P38" s="126">
        <f t="shared" si="19"/>
        <v>1</v>
      </c>
      <c r="Q38" s="82">
        <f>【1】定价因子!F24</f>
        <v>0.99</v>
      </c>
      <c r="R38" s="126">
        <f>R36</f>
        <v>1</v>
      </c>
      <c r="S38" s="126">
        <f>S28</f>
        <v>1.03</v>
      </c>
      <c r="T38" s="126">
        <f>T28</f>
        <v>1</v>
      </c>
    </row>
    <row r="39" s="82" customFormat="1" ht="26.4" spans="1:20">
      <c r="B39" s="102" t="s">
        <v>421</v>
      </c>
      <c r="C39" s="103" t="s">
        <v>387</v>
      </c>
      <c r="D39" s="106">
        <v>1239</v>
      </c>
      <c r="E39" s="104"/>
      <c r="F39" s="97" t="s">
        <v>149</v>
      </c>
      <c r="G39" s="97" t="s">
        <v>146</v>
      </c>
      <c r="H39" s="97" t="s">
        <v>383</v>
      </c>
      <c r="I39" s="97" t="s">
        <v>54</v>
      </c>
      <c r="J39" s="97" t="s">
        <v>54</v>
      </c>
      <c r="K39" s="97" t="s">
        <v>54</v>
      </c>
      <c r="L39" s="97" t="s">
        <v>366</v>
      </c>
      <c r="M39" s="97" t="s">
        <v>63</v>
      </c>
      <c r="N39" s="97" t="s">
        <v>63</v>
      </c>
      <c r="O39" s="98" t="s">
        <v>63</v>
      </c>
      <c r="P39" s="97" t="s">
        <v>54</v>
      </c>
      <c r="Q39" s="113" t="s">
        <v>385</v>
      </c>
      <c r="R39" s="97" t="s">
        <v>132</v>
      </c>
      <c r="S39" s="98" t="s">
        <v>388</v>
      </c>
      <c r="T39" s="97" t="s">
        <v>63</v>
      </c>
    </row>
    <row r="40" s="82" customFormat="1" spans="1:20">
      <c r="B40" s="102"/>
      <c r="C40" s="103" t="s">
        <v>389</v>
      </c>
      <c r="D40" s="106" t="e">
        <f>项目基准价!$C$13*PRODUCT(赋权表!F40:T40)</f>
        <v>#REF!</v>
      </c>
      <c r="E40" s="104" t="e">
        <f>D39/D40-1</f>
        <v>#REF!</v>
      </c>
      <c r="F40" s="113" t="e">
        <f>F32</f>
        <v>#REF!</v>
      </c>
      <c r="G40" s="113">
        <f t="shared" ref="G40:M40" si="20">G32</f>
        <v>1</v>
      </c>
      <c r="H40" s="113" t="e">
        <f t="shared" si="20"/>
        <v>#REF!</v>
      </c>
      <c r="I40" s="113">
        <f>I38</f>
        <v>1</v>
      </c>
      <c r="J40" s="113">
        <f t="shared" si="20"/>
        <v>1</v>
      </c>
      <c r="K40" s="113">
        <f t="shared" si="20"/>
        <v>1</v>
      </c>
      <c r="L40" s="113" t="e">
        <f t="shared" si="20"/>
        <v>#REF!</v>
      </c>
      <c r="M40" s="113" t="e">
        <f t="shared" si="20"/>
        <v>#REF!</v>
      </c>
      <c r="N40" s="113">
        <f>N38</f>
        <v>1</v>
      </c>
      <c r="O40" s="113" t="e">
        <f>O38</f>
        <v>#REF!</v>
      </c>
      <c r="P40" s="113">
        <f>P38</f>
        <v>1</v>
      </c>
      <c r="Q40" s="113">
        <f>Q38</f>
        <v>0.99</v>
      </c>
      <c r="R40" s="113">
        <f>R14</f>
        <v>1.04</v>
      </c>
      <c r="S40" s="113">
        <f>S32</f>
        <v>1</v>
      </c>
      <c r="T40" s="113">
        <f>T38</f>
        <v>1</v>
      </c>
    </row>
    <row r="41" s="82" customFormat="1" spans="1:20">
      <c r="A41" s="82" t="s">
        <v>416</v>
      </c>
      <c r="B41" s="102" t="s">
        <v>422</v>
      </c>
      <c r="C41" s="103" t="s">
        <v>387</v>
      </c>
      <c r="D41" s="106">
        <v>1699</v>
      </c>
      <c r="E41" s="104"/>
      <c r="F41" s="97" t="s">
        <v>149</v>
      </c>
      <c r="G41" s="97" t="s">
        <v>146</v>
      </c>
      <c r="H41" s="97" t="s">
        <v>365</v>
      </c>
      <c r="I41" s="97" t="s">
        <v>54</v>
      </c>
      <c r="J41" s="97" t="s">
        <v>54</v>
      </c>
      <c r="K41" s="97" t="s">
        <v>54</v>
      </c>
      <c r="L41" s="97" t="s">
        <v>366</v>
      </c>
      <c r="M41" s="97" t="s">
        <v>63</v>
      </c>
      <c r="N41" s="97" t="s">
        <v>63</v>
      </c>
      <c r="O41" s="98" t="s">
        <v>63</v>
      </c>
      <c r="P41" s="97" t="s">
        <v>54</v>
      </c>
      <c r="Q41" s="113" t="s">
        <v>391</v>
      </c>
      <c r="R41" s="120" t="s">
        <v>112</v>
      </c>
      <c r="S41" s="98" t="s">
        <v>63</v>
      </c>
      <c r="T41" s="97" t="s">
        <v>63</v>
      </c>
    </row>
    <row r="42" s="82" customFormat="1" spans="1:20">
      <c r="B42" s="102"/>
      <c r="C42" s="103" t="s">
        <v>389</v>
      </c>
      <c r="D42" s="106" t="e">
        <f>项目基准价!$C$16*PRODUCT(赋权表!F42:T42)</f>
        <v>#REF!</v>
      </c>
      <c r="E42" s="104" t="e">
        <f>D41/D42-1</f>
        <v>#REF!</v>
      </c>
      <c r="F42" s="113" t="e">
        <f>F38</f>
        <v>#REF!</v>
      </c>
      <c r="G42" s="113">
        <f t="shared" ref="G42:N42" si="21">G38</f>
        <v>1</v>
      </c>
      <c r="H42" s="113">
        <f t="shared" si="21"/>
        <v>0.96</v>
      </c>
      <c r="I42" s="113">
        <f t="shared" si="21"/>
        <v>1</v>
      </c>
      <c r="J42" s="113">
        <f t="shared" si="21"/>
        <v>1</v>
      </c>
      <c r="K42" s="113">
        <f t="shared" si="21"/>
        <v>1</v>
      </c>
      <c r="L42" s="113" t="e">
        <f t="shared" si="21"/>
        <v>#REF!</v>
      </c>
      <c r="M42" s="113" t="e">
        <f t="shared" si="21"/>
        <v>#REF!</v>
      </c>
      <c r="N42" s="126">
        <f t="shared" si="21"/>
        <v>1</v>
      </c>
      <c r="O42" s="113" t="e">
        <f>O40</f>
        <v>#REF!</v>
      </c>
      <c r="P42" s="113">
        <f>P40</f>
        <v>1</v>
      </c>
      <c r="Q42" s="113">
        <f>Q32</f>
        <v>1.02</v>
      </c>
      <c r="R42" s="113"/>
      <c r="S42" s="113">
        <f>S38</f>
        <v>1.03</v>
      </c>
      <c r="T42" s="113">
        <f>T40</f>
        <v>1</v>
      </c>
    </row>
    <row r="43" s="82" customFormat="1" ht="26.4" spans="1:20">
      <c r="B43" s="102" t="s">
        <v>423</v>
      </c>
      <c r="C43" s="103" t="s">
        <v>387</v>
      </c>
      <c r="D43" s="117">
        <v>1239</v>
      </c>
      <c r="E43" s="104"/>
      <c r="F43" s="97" t="s">
        <v>149</v>
      </c>
      <c r="G43" s="97" t="s">
        <v>146</v>
      </c>
      <c r="H43" s="97" t="s">
        <v>383</v>
      </c>
      <c r="I43" s="98" t="s">
        <v>161</v>
      </c>
      <c r="J43" s="97" t="s">
        <v>54</v>
      </c>
      <c r="K43" s="97" t="s">
        <v>54</v>
      </c>
      <c r="L43" s="97" t="s">
        <v>366</v>
      </c>
      <c r="M43" s="97" t="s">
        <v>63</v>
      </c>
      <c r="N43" s="97" t="s">
        <v>380</v>
      </c>
      <c r="O43" s="98" t="s">
        <v>63</v>
      </c>
      <c r="P43" s="97" t="s">
        <v>54</v>
      </c>
      <c r="Q43" s="113" t="s">
        <v>385</v>
      </c>
      <c r="R43" s="97" t="s">
        <v>132</v>
      </c>
      <c r="S43" s="98" t="s">
        <v>388</v>
      </c>
      <c r="T43" s="97" t="s">
        <v>63</v>
      </c>
    </row>
    <row r="44" s="82" customFormat="1" spans="1:20">
      <c r="B44" s="102"/>
      <c r="C44" s="103" t="s">
        <v>389</v>
      </c>
      <c r="D44" s="106" t="e">
        <f>项目基准价!$C$13*PRODUCT(赋权表!F44:T44)</f>
        <v>#REF!</v>
      </c>
      <c r="E44" s="119" t="e">
        <f>D43/D44-1</f>
        <v>#REF!</v>
      </c>
      <c r="F44" s="113" t="e">
        <f>F42</f>
        <v>#REF!</v>
      </c>
      <c r="G44" s="113">
        <f>G42</f>
        <v>1</v>
      </c>
      <c r="H44" s="113" t="e">
        <f>H40</f>
        <v>#REF!</v>
      </c>
      <c r="I44" s="113">
        <f>【1】定价因子!F73</f>
        <v>0.975</v>
      </c>
      <c r="J44" s="113">
        <f t="shared" ref="J44:N44" si="22">J34</f>
        <v>1</v>
      </c>
      <c r="K44" s="113">
        <f>K38</f>
        <v>1</v>
      </c>
      <c r="L44" s="113" t="e">
        <f>L36</f>
        <v>#REF!</v>
      </c>
      <c r="M44" s="113" t="e">
        <f t="shared" si="22"/>
        <v>#REF!</v>
      </c>
      <c r="N44" s="113">
        <f t="shared" si="22"/>
        <v>1.06</v>
      </c>
      <c r="O44" s="113" t="e">
        <f>O40</f>
        <v>#REF!</v>
      </c>
      <c r="P44" s="113">
        <f t="shared" ref="P44:T44" si="23">P40</f>
        <v>1</v>
      </c>
      <c r="Q44" s="113">
        <f t="shared" si="23"/>
        <v>0.99</v>
      </c>
      <c r="R44" s="113">
        <f t="shared" si="23"/>
        <v>1.04</v>
      </c>
      <c r="S44" s="113">
        <f>S32</f>
        <v>1</v>
      </c>
      <c r="T44" s="113">
        <f t="shared" si="23"/>
        <v>1</v>
      </c>
    </row>
    <row r="45" s="82" customFormat="1" ht="26.4" spans="1:20">
      <c r="B45" s="102" t="s">
        <v>424</v>
      </c>
      <c r="C45" s="103" t="s">
        <v>387</v>
      </c>
      <c r="D45" s="117">
        <v>1239</v>
      </c>
      <c r="E45" s="104"/>
      <c r="F45" s="105" t="s">
        <v>150</v>
      </c>
      <c r="G45" s="97" t="s">
        <v>146</v>
      </c>
      <c r="H45" s="97" t="s">
        <v>383</v>
      </c>
      <c r="I45" s="97" t="s">
        <v>54</v>
      </c>
      <c r="J45" s="97" t="s">
        <v>54</v>
      </c>
      <c r="K45" s="97" t="s">
        <v>54</v>
      </c>
      <c r="L45" s="97" t="s">
        <v>366</v>
      </c>
      <c r="M45" s="97" t="s">
        <v>63</v>
      </c>
      <c r="N45" s="97" t="s">
        <v>380</v>
      </c>
      <c r="O45" s="98" t="s">
        <v>63</v>
      </c>
      <c r="P45" s="97" t="s">
        <v>54</v>
      </c>
      <c r="Q45" s="113" t="s">
        <v>391</v>
      </c>
      <c r="R45" s="97" t="s">
        <v>132</v>
      </c>
      <c r="S45" s="97" t="s">
        <v>63</v>
      </c>
      <c r="T45" s="97" t="s">
        <v>63</v>
      </c>
    </row>
    <row r="46" s="82" customFormat="1" spans="1:20">
      <c r="B46" s="102"/>
      <c r="C46" s="103" t="s">
        <v>389</v>
      </c>
      <c r="D46" s="106" t="e">
        <f>项目基准价!$C$13*PRODUCT(赋权表!F46:T46)</f>
        <v>#REF!</v>
      </c>
      <c r="E46" s="119" t="e">
        <f>D45/D46-1</f>
        <v>#REF!</v>
      </c>
      <c r="F46" s="113" t="e">
        <f>F10</f>
        <v>#REF!</v>
      </c>
      <c r="G46" s="113">
        <f t="shared" ref="G46:M46" si="24">G10</f>
        <v>1</v>
      </c>
      <c r="H46" s="113" t="e">
        <f t="shared" si="24"/>
        <v>#REF!</v>
      </c>
      <c r="I46" s="113">
        <f t="shared" si="24"/>
        <v>1</v>
      </c>
      <c r="J46" s="113">
        <f t="shared" si="24"/>
        <v>1</v>
      </c>
      <c r="K46" s="113">
        <f t="shared" si="24"/>
        <v>1</v>
      </c>
      <c r="L46" s="113" t="e">
        <f t="shared" si="24"/>
        <v>#REF!</v>
      </c>
      <c r="M46" s="113" t="e">
        <f t="shared" si="24"/>
        <v>#REF!</v>
      </c>
      <c r="N46" s="113">
        <f>N34</f>
        <v>1.06</v>
      </c>
      <c r="O46" s="113" t="e">
        <f>O44</f>
        <v>#REF!</v>
      </c>
      <c r="P46" s="113">
        <f>P44</f>
        <v>1</v>
      </c>
      <c r="Q46" s="113">
        <f>Q42</f>
        <v>1.02</v>
      </c>
      <c r="R46" s="113">
        <f>R44</f>
        <v>1.04</v>
      </c>
      <c r="S46" s="113">
        <f>S42</f>
        <v>1.03</v>
      </c>
      <c r="T46" s="113">
        <f>T44</f>
        <v>1</v>
      </c>
    </row>
    <row r="47" s="82" customFormat="1" spans="1:20">
      <c r="B47" s="102" t="s">
        <v>425</v>
      </c>
      <c r="C47" s="103" t="s">
        <v>387</v>
      </c>
      <c r="D47" s="117">
        <v>1629</v>
      </c>
      <c r="E47" s="104"/>
      <c r="F47" s="97" t="s">
        <v>149</v>
      </c>
      <c r="G47" s="97" t="s">
        <v>146</v>
      </c>
      <c r="H47" s="97" t="s">
        <v>365</v>
      </c>
      <c r="I47" s="97" t="s">
        <v>54</v>
      </c>
      <c r="J47" s="97" t="s">
        <v>54</v>
      </c>
      <c r="K47" s="109" t="s">
        <v>51</v>
      </c>
      <c r="L47" s="97" t="s">
        <v>366</v>
      </c>
      <c r="M47" s="97" t="s">
        <v>63</v>
      </c>
      <c r="N47" s="97" t="s">
        <v>63</v>
      </c>
      <c r="O47" s="98" t="s">
        <v>63</v>
      </c>
      <c r="P47" s="97" t="s">
        <v>54</v>
      </c>
      <c r="Q47" s="113" t="s">
        <v>426</v>
      </c>
      <c r="R47" s="97" t="s">
        <v>63</v>
      </c>
      <c r="S47" s="97" t="s">
        <v>63</v>
      </c>
      <c r="T47" s="98" t="s">
        <v>154</v>
      </c>
    </row>
    <row r="48" s="82" customFormat="1" spans="1:20">
      <c r="B48" s="102"/>
      <c r="C48" s="103" t="s">
        <v>389</v>
      </c>
      <c r="D48" s="106" t="e">
        <f>项目基准价!$C$13*PRODUCT(赋权表!F48:T48)</f>
        <v>#REF!</v>
      </c>
      <c r="E48" s="119" t="e">
        <f>D47/D48-1</f>
        <v>#REF!</v>
      </c>
      <c r="F48" s="113" t="e">
        <f>F34</f>
        <v>#REF!</v>
      </c>
      <c r="G48" s="113">
        <f>G34</f>
        <v>1</v>
      </c>
      <c r="H48" s="113">
        <f>H42</f>
        <v>0.96</v>
      </c>
      <c r="I48" s="113">
        <f>I34</f>
        <v>1</v>
      </c>
      <c r="J48" s="113">
        <f t="shared" ref="J48:M48" si="25">J34</f>
        <v>1</v>
      </c>
      <c r="K48" s="113">
        <f t="shared" si="25"/>
        <v>1.05</v>
      </c>
      <c r="L48" s="113" t="e">
        <f>L46</f>
        <v>#REF!</v>
      </c>
      <c r="M48" s="113" t="e">
        <f t="shared" si="25"/>
        <v>#REF!</v>
      </c>
      <c r="N48" s="113">
        <f>N40</f>
        <v>1</v>
      </c>
      <c r="O48" s="113" t="e">
        <f t="shared" ref="O48:P48" si="26">O40</f>
        <v>#REF!</v>
      </c>
      <c r="P48" s="113">
        <f t="shared" si="26"/>
        <v>1</v>
      </c>
      <c r="Q48" s="113">
        <f>【1】定价因子!F35</f>
        <v>1.03</v>
      </c>
      <c r="R48" s="113">
        <f>R38</f>
        <v>1</v>
      </c>
      <c r="S48" s="113">
        <f t="shared" ref="S48" si="27">S38</f>
        <v>1.03</v>
      </c>
      <c r="T48" s="113">
        <f>T20</f>
        <v>1.02</v>
      </c>
    </row>
    <row r="49" s="82" customFormat="1" spans="1:20">
      <c r="A49" s="82" t="s">
        <v>427</v>
      </c>
      <c r="B49" s="102" t="s">
        <v>428</v>
      </c>
      <c r="C49" s="103" t="s">
        <v>387</v>
      </c>
      <c r="D49" s="106">
        <v>1449</v>
      </c>
      <c r="E49" s="104"/>
      <c r="F49" s="97" t="s">
        <v>149</v>
      </c>
      <c r="G49" s="97" t="s">
        <v>146</v>
      </c>
      <c r="H49" s="97" t="s">
        <v>365</v>
      </c>
      <c r="I49" s="97" t="s">
        <v>54</v>
      </c>
      <c r="J49" s="97" t="s">
        <v>54</v>
      </c>
      <c r="K49" s="109" t="s">
        <v>51</v>
      </c>
      <c r="L49" s="97" t="s">
        <v>366</v>
      </c>
      <c r="M49" s="97" t="s">
        <v>63</v>
      </c>
      <c r="N49" s="97" t="s">
        <v>63</v>
      </c>
      <c r="O49" s="98" t="s">
        <v>63</v>
      </c>
      <c r="P49" s="97" t="s">
        <v>54</v>
      </c>
      <c r="Q49" s="113" t="s">
        <v>391</v>
      </c>
      <c r="R49" s="97" t="s">
        <v>132</v>
      </c>
      <c r="S49" s="98" t="s">
        <v>388</v>
      </c>
      <c r="T49" s="97" t="s">
        <v>63</v>
      </c>
    </row>
    <row r="50" s="82" customFormat="1" spans="1:20">
      <c r="B50" s="102"/>
      <c r="C50" s="103" t="s">
        <v>389</v>
      </c>
      <c r="D50" s="106" t="e">
        <f>项目基准价!$C$13*PRODUCT(赋权表!F50:T50)</f>
        <v>#REF!</v>
      </c>
      <c r="E50" s="119" t="e">
        <f>D49/D50-1</f>
        <v>#REF!</v>
      </c>
      <c r="F50" s="113" t="e">
        <f>F26</f>
        <v>#REF!</v>
      </c>
      <c r="G50" s="113">
        <f t="shared" ref="G50:M50" si="28">G26</f>
        <v>1</v>
      </c>
      <c r="H50" s="113">
        <f t="shared" si="28"/>
        <v>0.96</v>
      </c>
      <c r="I50" s="113">
        <f t="shared" si="28"/>
        <v>1</v>
      </c>
      <c r="J50" s="113">
        <f t="shared" si="28"/>
        <v>1</v>
      </c>
      <c r="K50" s="113">
        <f t="shared" si="28"/>
        <v>1</v>
      </c>
      <c r="L50" s="113" t="e">
        <f t="shared" si="28"/>
        <v>#REF!</v>
      </c>
      <c r="M50" s="113" t="e">
        <f t="shared" si="28"/>
        <v>#REF!</v>
      </c>
      <c r="N50" s="113">
        <f>N48</f>
        <v>1</v>
      </c>
      <c r="O50" s="113" t="e">
        <f>O48</f>
        <v>#REF!</v>
      </c>
      <c r="P50" s="113">
        <f>P48</f>
        <v>1</v>
      </c>
      <c r="Q50" s="113">
        <f>Q46</f>
        <v>1.02</v>
      </c>
      <c r="R50" s="113">
        <f>R46</f>
        <v>1.04</v>
      </c>
      <c r="S50" s="113">
        <f>S44</f>
        <v>1</v>
      </c>
      <c r="T50" s="113">
        <f>T46</f>
        <v>1</v>
      </c>
    </row>
    <row r="51" s="82" customFormat="1" spans="1:20">
      <c r="B51" s="102" t="s">
        <v>429</v>
      </c>
      <c r="C51" s="103" t="s">
        <v>387</v>
      </c>
      <c r="D51" s="106">
        <v>1449</v>
      </c>
      <c r="E51" s="104"/>
      <c r="F51" s="97" t="s">
        <v>149</v>
      </c>
      <c r="G51" s="97" t="s">
        <v>146</v>
      </c>
      <c r="H51" s="97" t="s">
        <v>365</v>
      </c>
      <c r="I51" s="97" t="s">
        <v>54</v>
      </c>
      <c r="J51" s="97" t="s">
        <v>54</v>
      </c>
      <c r="K51" s="97" t="s">
        <v>54</v>
      </c>
      <c r="L51" s="97" t="s">
        <v>384</v>
      </c>
      <c r="M51" s="97" t="s">
        <v>63</v>
      </c>
      <c r="N51" s="97" t="s">
        <v>63</v>
      </c>
      <c r="O51" s="98" t="s">
        <v>63</v>
      </c>
      <c r="P51" s="97" t="s">
        <v>54</v>
      </c>
      <c r="Q51" s="113" t="s">
        <v>367</v>
      </c>
      <c r="R51" s="97" t="s">
        <v>63</v>
      </c>
      <c r="S51" s="97" t="s">
        <v>63</v>
      </c>
      <c r="T51" s="97" t="s">
        <v>63</v>
      </c>
    </row>
    <row r="52" s="82" customFormat="1" spans="1:20">
      <c r="B52" s="102"/>
      <c r="C52" s="103" t="s">
        <v>389</v>
      </c>
      <c r="D52" s="106" t="e">
        <f>项目基准价!$C$13*PRODUCT(赋权表!F52:T52)</f>
        <v>#REF!</v>
      </c>
      <c r="E52" s="119" t="e">
        <f>D51/D52-1</f>
        <v>#REF!</v>
      </c>
      <c r="F52" s="113" t="e">
        <f>F14</f>
        <v>#REF!</v>
      </c>
      <c r="G52" s="113">
        <f t="shared" ref="G52:M52" si="29">G14</f>
        <v>1</v>
      </c>
      <c r="H52" s="113">
        <f t="shared" si="29"/>
        <v>0.96</v>
      </c>
      <c r="I52" s="113">
        <f t="shared" si="29"/>
        <v>1</v>
      </c>
      <c r="J52" s="113">
        <f t="shared" si="29"/>
        <v>1</v>
      </c>
      <c r="K52" s="113">
        <f t="shared" si="29"/>
        <v>1</v>
      </c>
      <c r="L52" s="113" t="e">
        <f t="shared" si="29"/>
        <v>#REF!</v>
      </c>
      <c r="M52" s="113" t="e">
        <f t="shared" si="29"/>
        <v>#REF!</v>
      </c>
      <c r="N52" s="113">
        <f>N50</f>
        <v>1</v>
      </c>
      <c r="O52" s="113" t="e">
        <f t="shared" ref="O52:P52" si="30">O50</f>
        <v>#REF!</v>
      </c>
      <c r="P52" s="113">
        <f t="shared" si="30"/>
        <v>1</v>
      </c>
      <c r="Q52" s="113">
        <f>Q8</f>
        <v>1</v>
      </c>
      <c r="R52" s="113">
        <f>R48</f>
        <v>1</v>
      </c>
      <c r="S52" s="113">
        <f t="shared" ref="S52" si="31">S48</f>
        <v>1.03</v>
      </c>
      <c r="T52" s="113">
        <f>T46</f>
        <v>1</v>
      </c>
    </row>
    <row r="53" s="82" customFormat="1" spans="1:20">
      <c r="B53" s="102" t="s">
        <v>430</v>
      </c>
      <c r="C53" s="103"/>
      <c r="D53" s="102"/>
      <c r="E53" s="104"/>
      <c r="F53" s="105">
        <f>SUM(F55:F71)</f>
        <v>152</v>
      </c>
      <c r="G53" s="105">
        <f t="shared" ref="G53:T53" si="32">SUM(G55:G71)</f>
        <v>65</v>
      </c>
      <c r="H53" s="105">
        <f t="shared" si="32"/>
        <v>32</v>
      </c>
      <c r="I53" s="105">
        <f t="shared" si="32"/>
        <v>125</v>
      </c>
      <c r="J53" s="105">
        <f t="shared" si="32"/>
        <v>139</v>
      </c>
      <c r="K53" s="105">
        <f t="shared" si="32"/>
        <v>51</v>
      </c>
      <c r="L53" s="105">
        <f t="shared" si="32"/>
        <v>38</v>
      </c>
      <c r="M53" s="105">
        <f t="shared" si="32"/>
        <v>26</v>
      </c>
      <c r="N53" s="105">
        <f t="shared" si="32"/>
        <v>154</v>
      </c>
      <c r="O53" s="105">
        <f t="shared" si="32"/>
        <v>123</v>
      </c>
      <c r="P53" s="105">
        <f t="shared" si="32"/>
        <v>144</v>
      </c>
      <c r="Q53" s="105">
        <f t="shared" si="32"/>
        <v>74</v>
      </c>
      <c r="R53" s="105">
        <f t="shared" si="32"/>
        <v>86</v>
      </c>
      <c r="S53" s="105">
        <f t="shared" si="32"/>
        <v>161</v>
      </c>
      <c r="T53" s="105">
        <f t="shared" si="32"/>
        <v>100</v>
      </c>
    </row>
    <row r="54" s="82" customFormat="1" spans="1:20">
      <c r="A54" s="127">
        <f>6%/150</f>
        <v>0.0004</v>
      </c>
      <c r="B54" s="102" t="s">
        <v>431</v>
      </c>
      <c r="C54" s="103"/>
      <c r="D54" s="102"/>
      <c r="E54" s="104"/>
      <c r="F54" s="128">
        <v>0.06</v>
      </c>
      <c r="G54" s="128">
        <v>0.025</v>
      </c>
      <c r="H54" s="128">
        <v>0.015</v>
      </c>
      <c r="I54" s="128">
        <v>0.05</v>
      </c>
      <c r="J54" s="128">
        <v>0.055</v>
      </c>
      <c r="K54" s="128">
        <v>0.02</v>
      </c>
      <c r="L54" s="128">
        <v>0.015</v>
      </c>
      <c r="M54" s="128">
        <v>0.01</v>
      </c>
      <c r="N54" s="128">
        <v>0.06</v>
      </c>
      <c r="O54" s="128">
        <v>0.05</v>
      </c>
      <c r="P54" s="128">
        <v>0.06</v>
      </c>
      <c r="Q54" s="128">
        <v>0.015</v>
      </c>
      <c r="R54" s="128">
        <v>0.035</v>
      </c>
      <c r="S54" s="128">
        <v>0.065</v>
      </c>
      <c r="T54" s="128">
        <v>0.04</v>
      </c>
    </row>
    <row r="55" spans="1:20">
      <c r="A55" s="84" t="s">
        <v>432</v>
      </c>
      <c r="E55" s="129"/>
      <c r="F55" s="130">
        <v>20</v>
      </c>
      <c r="G55" s="84">
        <v>2</v>
      </c>
      <c r="H55" s="84">
        <v>12</v>
      </c>
      <c r="I55" s="84">
        <v>20</v>
      </c>
      <c r="J55" s="84">
        <v>10</v>
      </c>
      <c r="K55" s="84">
        <v>8</v>
      </c>
      <c r="L55" s="84">
        <v>12</v>
      </c>
      <c r="M55" s="84">
        <v>0</v>
      </c>
      <c r="N55" s="84">
        <v>26</v>
      </c>
      <c r="O55" s="84">
        <v>18</v>
      </c>
      <c r="P55" s="84">
        <v>26</v>
      </c>
      <c r="Q55" s="84">
        <v>10</v>
      </c>
      <c r="R55" s="84">
        <v>4</v>
      </c>
      <c r="S55" s="84">
        <v>26</v>
      </c>
      <c r="T55" s="84">
        <v>16</v>
      </c>
    </row>
    <row r="56" spans="1:20">
      <c r="A56" s="84" t="s">
        <v>433</v>
      </c>
      <c r="E56" s="129"/>
      <c r="F56" s="130">
        <v>13</v>
      </c>
      <c r="G56" s="84">
        <v>7</v>
      </c>
      <c r="H56" s="84">
        <v>1</v>
      </c>
      <c r="I56" s="84">
        <v>10</v>
      </c>
      <c r="J56" s="84">
        <v>14</v>
      </c>
      <c r="K56" s="84">
        <v>2</v>
      </c>
      <c r="L56" s="84">
        <v>3</v>
      </c>
      <c r="M56" s="84">
        <v>0</v>
      </c>
      <c r="N56" s="84">
        <v>9</v>
      </c>
      <c r="O56" s="84">
        <v>8</v>
      </c>
      <c r="P56" s="84">
        <v>11</v>
      </c>
      <c r="Q56" s="84">
        <v>4</v>
      </c>
      <c r="R56" s="84">
        <v>6</v>
      </c>
      <c r="S56" s="84">
        <v>11</v>
      </c>
      <c r="T56" s="84">
        <v>6</v>
      </c>
    </row>
    <row r="57" spans="1:20">
      <c r="A57" s="84" t="s">
        <v>434</v>
      </c>
      <c r="E57" s="129"/>
      <c r="F57" s="130">
        <v>20</v>
      </c>
      <c r="G57" s="84">
        <v>4</v>
      </c>
      <c r="H57" s="84">
        <v>8</v>
      </c>
      <c r="I57" s="84">
        <v>12</v>
      </c>
      <c r="J57" s="84">
        <v>18</v>
      </c>
      <c r="K57" s="84">
        <v>6</v>
      </c>
      <c r="L57" s="84">
        <v>0</v>
      </c>
      <c r="M57" s="84">
        <v>2</v>
      </c>
      <c r="N57" s="84">
        <v>26</v>
      </c>
      <c r="O57" s="84">
        <v>12</v>
      </c>
      <c r="P57" s="84">
        <v>24</v>
      </c>
      <c r="Q57" s="84">
        <v>20</v>
      </c>
      <c r="R57" s="84">
        <v>16</v>
      </c>
      <c r="S57" s="84">
        <v>28</v>
      </c>
      <c r="T57" s="84">
        <v>14</v>
      </c>
    </row>
    <row r="58" spans="1:20">
      <c r="A58" s="84" t="s">
        <v>435</v>
      </c>
      <c r="E58" s="129"/>
      <c r="F58" s="130">
        <v>14</v>
      </c>
      <c r="G58" s="84">
        <v>13</v>
      </c>
      <c r="H58" s="84">
        <v>4</v>
      </c>
      <c r="I58" s="84">
        <v>5</v>
      </c>
      <c r="J58" s="84">
        <v>5</v>
      </c>
      <c r="K58" s="84">
        <v>8</v>
      </c>
      <c r="L58" s="84">
        <v>1</v>
      </c>
      <c r="M58" s="84">
        <v>2</v>
      </c>
      <c r="N58" s="84">
        <v>4</v>
      </c>
      <c r="O58" s="84">
        <v>10</v>
      </c>
      <c r="P58" s="84">
        <v>12</v>
      </c>
      <c r="Q58" s="84">
        <v>0</v>
      </c>
      <c r="R58" s="84">
        <v>7</v>
      </c>
      <c r="S58" s="84">
        <v>11</v>
      </c>
      <c r="T58" s="84">
        <v>9</v>
      </c>
    </row>
    <row r="59" spans="1:20">
      <c r="A59" s="84" t="s">
        <v>436</v>
      </c>
      <c r="E59" s="129"/>
      <c r="F59" s="130">
        <v>13</v>
      </c>
      <c r="G59" s="84">
        <v>5</v>
      </c>
      <c r="H59" s="84">
        <v>3</v>
      </c>
      <c r="I59" s="84">
        <v>12</v>
      </c>
      <c r="J59" s="84">
        <v>14</v>
      </c>
      <c r="K59" s="84">
        <v>2</v>
      </c>
      <c r="L59" s="84">
        <v>0</v>
      </c>
      <c r="M59" s="84">
        <v>1</v>
      </c>
      <c r="N59" s="84">
        <v>7</v>
      </c>
      <c r="O59" s="84">
        <v>6</v>
      </c>
      <c r="P59" s="84">
        <v>9</v>
      </c>
      <c r="Q59" s="84">
        <v>4</v>
      </c>
      <c r="R59" s="84">
        <v>10</v>
      </c>
      <c r="S59" s="84">
        <v>10</v>
      </c>
      <c r="T59" s="84">
        <v>9</v>
      </c>
    </row>
    <row r="60" spans="1:20">
      <c r="A60" s="84" t="s">
        <v>437</v>
      </c>
      <c r="E60" s="129"/>
      <c r="F60" s="130">
        <v>24</v>
      </c>
      <c r="G60" s="84">
        <v>8</v>
      </c>
      <c r="H60" s="84">
        <v>0</v>
      </c>
      <c r="I60" s="84">
        <v>20</v>
      </c>
      <c r="J60" s="84">
        <v>26</v>
      </c>
      <c r="K60" s="84">
        <v>4</v>
      </c>
      <c r="L60" s="84">
        <v>8</v>
      </c>
      <c r="M60" s="84">
        <v>10</v>
      </c>
      <c r="N60" s="84">
        <v>18</v>
      </c>
      <c r="O60" s="84">
        <v>20</v>
      </c>
      <c r="P60" s="84">
        <v>16</v>
      </c>
      <c r="Q60" s="84">
        <v>8</v>
      </c>
      <c r="R60" s="84">
        <v>8</v>
      </c>
      <c r="S60" s="84">
        <v>24</v>
      </c>
      <c r="T60" s="84">
        <v>16</v>
      </c>
    </row>
    <row r="61" spans="1:20">
      <c r="A61" s="84" t="s">
        <v>438</v>
      </c>
      <c r="E61" s="129"/>
      <c r="F61" s="130">
        <v>22</v>
      </c>
      <c r="G61" s="84">
        <v>10</v>
      </c>
      <c r="H61" s="84">
        <v>2</v>
      </c>
      <c r="I61" s="84">
        <v>10</v>
      </c>
      <c r="J61" s="84">
        <v>10</v>
      </c>
      <c r="K61" s="84">
        <v>6</v>
      </c>
      <c r="L61" s="84">
        <v>4</v>
      </c>
      <c r="M61" s="84">
        <v>0</v>
      </c>
      <c r="N61" s="84">
        <v>26</v>
      </c>
      <c r="O61" s="84">
        <v>28</v>
      </c>
      <c r="P61" s="84">
        <v>22</v>
      </c>
      <c r="Q61" s="84">
        <v>14</v>
      </c>
      <c r="R61" s="84">
        <v>18</v>
      </c>
      <c r="S61" s="84">
        <v>22</v>
      </c>
      <c r="T61" s="84">
        <v>16</v>
      </c>
    </row>
    <row r="62" spans="1:20">
      <c r="A62" s="84" t="s">
        <v>439</v>
      </c>
      <c r="E62" s="129"/>
      <c r="F62" s="130">
        <v>8</v>
      </c>
      <c r="G62" s="84">
        <v>2</v>
      </c>
      <c r="H62" s="84">
        <v>0</v>
      </c>
      <c r="I62" s="84">
        <v>10</v>
      </c>
      <c r="J62" s="84">
        <v>14</v>
      </c>
      <c r="K62" s="84">
        <v>1</v>
      </c>
      <c r="L62" s="84">
        <v>4</v>
      </c>
      <c r="M62" s="84">
        <v>9</v>
      </c>
      <c r="N62" s="84">
        <v>6</v>
      </c>
      <c r="O62" s="84">
        <v>11</v>
      </c>
      <c r="P62" s="84">
        <v>6</v>
      </c>
      <c r="Q62" s="84">
        <v>4</v>
      </c>
      <c r="R62" s="84">
        <v>5</v>
      </c>
      <c r="S62" s="84">
        <v>13</v>
      </c>
      <c r="T62" s="84">
        <v>12</v>
      </c>
    </row>
    <row r="63" spans="1:20">
      <c r="A63" s="84" t="s">
        <v>440</v>
      </c>
      <c r="E63" s="129"/>
      <c r="F63" s="130">
        <v>18</v>
      </c>
      <c r="G63" s="84">
        <v>14</v>
      </c>
      <c r="H63" s="84">
        <v>2</v>
      </c>
      <c r="I63" s="84">
        <v>26</v>
      </c>
      <c r="J63" s="84">
        <v>28</v>
      </c>
      <c r="K63" s="84">
        <v>14</v>
      </c>
      <c r="L63" s="84">
        <v>6</v>
      </c>
      <c r="M63" s="84">
        <v>2</v>
      </c>
      <c r="N63" s="84">
        <v>32</v>
      </c>
      <c r="O63" s="84">
        <v>10</v>
      </c>
      <c r="P63" s="84">
        <v>18</v>
      </c>
      <c r="Q63" s="84">
        <v>10</v>
      </c>
      <c r="R63" s="84">
        <v>12</v>
      </c>
      <c r="S63" s="84">
        <v>16</v>
      </c>
      <c r="T63" s="84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16"/>
  <sheetViews>
    <sheetView workbookViewId="0">
      <selection activeCell="L20" sqref="L20"/>
    </sheetView>
  </sheetViews>
  <sheetFormatPr defaultColWidth="8.41666666666667" defaultRowHeight="13.8"/>
  <cols>
    <col min="1" max="1" width="14.3333333333333" style="3" customWidth="1"/>
  </cols>
  <sheetData>
    <row r="1" spans="1:1">
      <c r="A1" s="78" t="s">
        <v>355</v>
      </c>
    </row>
    <row r="2" spans="1:1">
      <c r="A2" s="78" t="s">
        <v>145</v>
      </c>
    </row>
    <row r="3" spans="1:1">
      <c r="A3" s="78" t="s">
        <v>356</v>
      </c>
    </row>
    <row r="4" spans="1:1">
      <c r="A4" s="78" t="s">
        <v>159</v>
      </c>
    </row>
    <row r="5" spans="1:1">
      <c r="A5" s="78" t="s">
        <v>164</v>
      </c>
    </row>
    <row r="6" spans="1:1">
      <c r="A6" s="78" t="s">
        <v>441</v>
      </c>
    </row>
    <row r="7" spans="1:1">
      <c r="A7" s="78" t="s">
        <v>359</v>
      </c>
    </row>
    <row r="8" spans="1:1">
      <c r="A8" s="79" t="s">
        <v>360</v>
      </c>
    </row>
    <row r="9" spans="1:1">
      <c r="A9" s="80" t="s">
        <v>57</v>
      </c>
    </row>
    <row r="10" spans="1:1">
      <c r="A10" s="80" t="s">
        <v>361</v>
      </c>
    </row>
    <row r="11" spans="1:1">
      <c r="A11" s="80" t="s">
        <v>67</v>
      </c>
    </row>
    <row r="12" spans="1:1">
      <c r="A12" s="81" t="s">
        <v>81</v>
      </c>
    </row>
    <row r="13" spans="1:1">
      <c r="A13" s="81" t="s">
        <v>104</v>
      </c>
    </row>
    <row r="14" spans="1:1">
      <c r="A14" s="80" t="s">
        <v>362</v>
      </c>
    </row>
    <row r="15" spans="1:1">
      <c r="A15" s="80" t="s">
        <v>118</v>
      </c>
    </row>
    <row r="16" spans="1:1">
      <c r="A16" s="81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J10"/>
  <sheetViews>
    <sheetView workbookViewId="0">
      <selection activeCell="L10" sqref="L10"/>
    </sheetView>
  </sheetViews>
  <sheetFormatPr defaultColWidth="8.41666666666667" defaultRowHeight="13.8"/>
  <cols>
    <col min="1" max="1" width="5.58333333333333" customWidth="1"/>
    <col min="2" max="2" width="9.58333333333333" customWidth="1"/>
    <col min="3" max="3" width="16.0833333333333" customWidth="1"/>
    <col min="4" max="4" width="11.6666666666667" style="28" customWidth="1" outlineLevel="1"/>
    <col min="5" max="5" width="10.5833333333333" hidden="1" customWidth="1" outlineLevel="1"/>
    <col min="6" max="6" width="9.58333333333333" customWidth="1" outlineLevel="1"/>
    <col min="7" max="7" width="10.5833333333333" hidden="1" customWidth="1" outlineLevel="1"/>
    <col min="8" max="8" width="9.58333333333333" customWidth="1" outlineLevel="1"/>
    <col min="9" max="9" width="10.5833333333333" hidden="1" customWidth="1" outlineLevel="1"/>
    <col min="10" max="10" width="13.9166666666667" style="57" customWidth="1"/>
  </cols>
  <sheetData>
    <row r="1" ht="16.25" customHeight="1" spans="1:10">
      <c r="A1" s="73" t="s">
        <v>442</v>
      </c>
      <c r="B1" s="73" t="s">
        <v>36</v>
      </c>
      <c r="C1" s="74" t="s">
        <v>443</v>
      </c>
      <c r="D1" s="73" t="s">
        <v>33</v>
      </c>
      <c r="E1" s="75" t="s">
        <v>444</v>
      </c>
      <c r="F1" s="73" t="s">
        <v>50</v>
      </c>
      <c r="G1" s="76" t="s">
        <v>445</v>
      </c>
      <c r="H1" s="73" t="s">
        <v>446</v>
      </c>
      <c r="I1" s="75" t="s">
        <v>447</v>
      </c>
      <c r="J1" s="77" t="s">
        <v>448</v>
      </c>
    </row>
    <row r="2" s="2" customFormat="1" ht="17" customHeight="1" spans="1:10">
      <c r="A2" s="2" t="str">
        <f>'【2】运营中心填-基本信息&amp;审核标准'!$E$2</f>
        <v>福围广生1-41栋</v>
      </c>
      <c r="B2" s="2" t="str">
        <f>'【3-2】大区&amp;运营中心填-房间模型价'!K2</f>
        <v>开间</v>
      </c>
      <c r="C2" s="2">
        <f>VLOOKUP(B2,【1】定价因子!L:M,2,0)</f>
        <v>1612.1</v>
      </c>
      <c r="D2" s="28" t="s">
        <v>47</v>
      </c>
      <c r="E2" s="2">
        <f>VLOOKUP(D2,【1】定价因子!$D:$F,3,0)</f>
        <v>0.96</v>
      </c>
      <c r="F2" s="2" t="s">
        <v>54</v>
      </c>
      <c r="G2" s="2">
        <f>VLOOKUP(F2,【1】定价因子!D:F,3,0)</f>
        <v>1</v>
      </c>
      <c r="H2" s="2" t="s">
        <v>285</v>
      </c>
      <c r="I2" s="2">
        <v>0.8</v>
      </c>
      <c r="J2" s="30">
        <f>C2*PRODUCT(G2,,E2,I2)</f>
        <v>1238.0928</v>
      </c>
    </row>
    <row r="3" s="28" customFormat="1" spans="1:10">
      <c r="A3" s="2" t="str">
        <f>'【2】运营中心填-基本信息&amp;审核标准'!$E$2</f>
        <v>福围广生1-41栋</v>
      </c>
      <c r="B3" s="2" t="str">
        <f>'【3-2】大区&amp;运营中心填-房间模型价'!K3</f>
        <v>一居室</v>
      </c>
      <c r="C3" s="2">
        <f>VLOOKUP(B3,【1】定价因子!L:M,2,0)</f>
        <v>2402.5</v>
      </c>
      <c r="D3" s="28" t="s">
        <v>47</v>
      </c>
      <c r="E3" s="2">
        <f>VLOOKUP(D3,【1】定价因子!$D:$F,3,0)</f>
        <v>0.96</v>
      </c>
      <c r="F3" s="2" t="s">
        <v>54</v>
      </c>
      <c r="G3" s="2">
        <f>VLOOKUP(F3,【1】定价因子!D:F,3,0)</f>
        <v>1</v>
      </c>
      <c r="H3" s="2" t="s">
        <v>285</v>
      </c>
      <c r="I3" s="2">
        <v>0.8</v>
      </c>
      <c r="J3" s="30">
        <f t="shared" ref="J3:J10" si="0">C3*PRODUCT(G3,,E3,I3)</f>
        <v>1845.12</v>
      </c>
    </row>
    <row r="4" spans="1:10">
      <c r="A4" s="2" t="str">
        <f>'【2】运营中心填-基本信息&amp;审核标准'!$E$2</f>
        <v>福围广生1-41栋</v>
      </c>
      <c r="B4" s="2" t="str">
        <f>'【3-2】大区&amp;运营中心填-房间模型价'!K4</f>
        <v/>
      </c>
      <c r="C4" s="2" t="e">
        <f>VLOOKUP(B4,【1】定价因子!L:M,2,0)</f>
        <v>#N/A</v>
      </c>
      <c r="D4" s="28" t="s">
        <v>34</v>
      </c>
      <c r="E4" s="2">
        <f>VLOOKUP(D4,【1】定价因子!$D:$F,3,0)</f>
        <v>1.04</v>
      </c>
      <c r="F4" s="2" t="str">
        <f>IF('【2】运营中心填-基本信息&amp;审核标准'!$C$4="否","无",IF('【2】运营中心填-基本信息&amp;审核标准'!$C$4="是","有"))</f>
        <v>有</v>
      </c>
      <c r="G4" s="2">
        <f>VLOOKUP(F4,【1】定价因子!D:F,3,0)</f>
        <v>1.05</v>
      </c>
      <c r="H4" s="2" t="s">
        <v>285</v>
      </c>
      <c r="I4" s="2">
        <v>0.8</v>
      </c>
      <c r="J4" s="30" t="e">
        <f t="shared" si="0"/>
        <v>#N/A</v>
      </c>
    </row>
    <row r="5" spans="1:10">
      <c r="A5" s="2" t="str">
        <f>'【2】运营中心填-基本信息&amp;审核标准'!$E$2</f>
        <v>福围广生1-41栋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28" t="s">
        <v>34</v>
      </c>
      <c r="E5" s="2">
        <f>VLOOKUP(D5,【1】定价因子!$D:$F,3,0)</f>
        <v>1.04</v>
      </c>
      <c r="F5" s="2" t="str">
        <f>IF('【2】运营中心填-基本信息&amp;审核标准'!$C$4="否","无",IF('【2】运营中心填-基本信息&amp;审核标准'!$C$4="是","有"))</f>
        <v>有</v>
      </c>
      <c r="G5" s="2">
        <f>VLOOKUP(F5,【1】定价因子!D:F,3,0)</f>
        <v>1.05</v>
      </c>
      <c r="H5" s="2" t="s">
        <v>285</v>
      </c>
      <c r="I5" s="2">
        <v>0.8</v>
      </c>
      <c r="J5" s="30" t="e">
        <f t="shared" si="0"/>
        <v>#N/A</v>
      </c>
    </row>
    <row r="6" spans="1:10">
      <c r="A6" s="2" t="str">
        <f>'【2】运营中心填-基本信息&amp;审核标准'!$E$2</f>
        <v>福围广生1-41栋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28" t="s">
        <v>34</v>
      </c>
      <c r="E6" s="2">
        <f>VLOOKUP(D6,【1】定价因子!$D:$F,3,0)</f>
        <v>1.04</v>
      </c>
      <c r="F6" s="2" t="str">
        <f>IF('【2】运营中心填-基本信息&amp;审核标准'!$C$4="否","无",IF('【2】运营中心填-基本信息&amp;审核标准'!$C$4="是","有"))</f>
        <v>有</v>
      </c>
      <c r="G6" s="2">
        <f>VLOOKUP(F6,【1】定价因子!D:F,3,0)</f>
        <v>1.05</v>
      </c>
      <c r="H6" s="2" t="s">
        <v>285</v>
      </c>
      <c r="I6" s="2">
        <v>0.8</v>
      </c>
      <c r="J6" s="30" t="e">
        <f t="shared" si="0"/>
        <v>#N/A</v>
      </c>
    </row>
    <row r="7" spans="1:10">
      <c r="A7" s="2" t="str">
        <f>'【2】运营中心填-基本信息&amp;审核标准'!$E$2</f>
        <v>福围广生1-41栋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28" t="s">
        <v>34</v>
      </c>
      <c r="E7" s="2">
        <f>VLOOKUP(D7,【1】定价因子!$D:$F,3,0)</f>
        <v>1.04</v>
      </c>
      <c r="F7" s="2" t="str">
        <f>IF('【2】运营中心填-基本信息&amp;审核标准'!$C$4="否","无",IF('【2】运营中心填-基本信息&amp;审核标准'!$C$4="是","有"))</f>
        <v>有</v>
      </c>
      <c r="G7" s="2">
        <f>VLOOKUP(F7,【1】定价因子!D:F,3,0)</f>
        <v>1.05</v>
      </c>
      <c r="H7" s="2" t="s">
        <v>285</v>
      </c>
      <c r="I7" s="2">
        <v>0.8</v>
      </c>
      <c r="J7" s="30" t="e">
        <f t="shared" si="0"/>
        <v>#N/A</v>
      </c>
    </row>
    <row r="8" spans="1:10">
      <c r="A8" s="2" t="str">
        <f>'【2】运营中心填-基本信息&amp;审核标准'!$E$2</f>
        <v>福围广生1-41栋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28" t="s">
        <v>34</v>
      </c>
      <c r="E8" s="2">
        <f>VLOOKUP(D8,【1】定价因子!$D:$F,3,0)</f>
        <v>1.04</v>
      </c>
      <c r="F8" s="2" t="str">
        <f>IF('【2】运营中心填-基本信息&amp;审核标准'!$C$4="否","无",IF('【2】运营中心填-基本信息&amp;审核标准'!$C$4="是","有"))</f>
        <v>有</v>
      </c>
      <c r="G8" s="2">
        <f>VLOOKUP(F8,【1】定价因子!D:F,3,0)</f>
        <v>1.05</v>
      </c>
      <c r="H8" s="2" t="s">
        <v>285</v>
      </c>
      <c r="I8" s="2">
        <v>0.8</v>
      </c>
      <c r="J8" s="30" t="e">
        <f t="shared" si="0"/>
        <v>#N/A</v>
      </c>
    </row>
    <row r="9" spans="1:10">
      <c r="A9" s="2" t="str">
        <f>'【2】运营中心填-基本信息&amp;审核标准'!$E$2</f>
        <v>福围广生1-41栋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28" t="s">
        <v>34</v>
      </c>
      <c r="E9" s="2">
        <f>VLOOKUP(D9,【1】定价因子!$D:$F,3,0)</f>
        <v>1.04</v>
      </c>
      <c r="F9" s="2" t="str">
        <f>IF('【2】运营中心填-基本信息&amp;审核标准'!$C$4="否","无",IF('【2】运营中心填-基本信息&amp;审核标准'!$C$4="是","有"))</f>
        <v>有</v>
      </c>
      <c r="G9" s="2">
        <f>VLOOKUP(F9,【1】定价因子!D:F,3,0)</f>
        <v>1.05</v>
      </c>
      <c r="H9" s="2" t="s">
        <v>285</v>
      </c>
      <c r="I9" s="2">
        <v>0.8</v>
      </c>
      <c r="J9" s="30" t="e">
        <f t="shared" si="0"/>
        <v>#N/A</v>
      </c>
    </row>
    <row r="10" spans="1:10">
      <c r="A10" s="2" t="str">
        <f>'【2】运营中心填-基本信息&amp;审核标准'!$E$2</f>
        <v>福围广生1-41栋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28" t="s">
        <v>34</v>
      </c>
      <c r="E10" s="2">
        <f>VLOOKUP(D10,【1】定价因子!$D:$F,3,0)</f>
        <v>1.04</v>
      </c>
      <c r="F10" s="2" t="str">
        <f>IF('【2】运营中心填-基本信息&amp;审核标准'!$C$4="否","无",IF('【2】运营中心填-基本信息&amp;审核标准'!$C$4="是","有"))</f>
        <v>有</v>
      </c>
      <c r="G10" s="2">
        <f>VLOOKUP(F10,【1】定价因子!D:F,3,0)</f>
        <v>1.05</v>
      </c>
      <c r="H10" s="2" t="s">
        <v>285</v>
      </c>
      <c r="I10" s="2">
        <v>0.8</v>
      </c>
      <c r="J10" s="30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I276"/>
  <sheetViews>
    <sheetView workbookViewId="0">
      <selection activeCell="G23" sqref="G23"/>
    </sheetView>
  </sheetViews>
  <sheetFormatPr defaultColWidth="8.66666666666667" defaultRowHeight="13.8"/>
  <cols>
    <col min="1" max="1" width="7.58333333333333" style="2" customWidth="1"/>
    <col min="2" max="2" width="5.58333333333333" style="2" customWidth="1"/>
    <col min="3" max="3" width="6.25" style="2" customWidth="1"/>
    <col min="4" max="4" width="42.25" style="2" customWidth="1"/>
    <col min="5" max="5" width="9.58333333333333" style="2" customWidth="1"/>
    <col min="6" max="6" width="24.9166666666667" style="2" customWidth="1"/>
    <col min="7" max="7" width="13.9166666666667" style="2" customWidth="1"/>
    <col min="8" max="8" width="9.58333333333333" style="2" customWidth="1"/>
    <col min="9" max="9" width="9.58333333333333" customWidth="1"/>
    <col min="10" max="11" width="7.33333333333333" customWidth="1"/>
    <col min="12" max="12" width="13.9166666666667" customWidth="1"/>
    <col min="13" max="13" width="12.0833333333333" customWidth="1"/>
    <col min="14" max="14" width="17.0833333333333" customWidth="1"/>
    <col min="15" max="15" width="16.25" customWidth="1"/>
  </cols>
  <sheetData>
    <row r="1" ht="17.4" spans="1:35">
      <c r="D1" s="59" t="s">
        <v>449</v>
      </c>
      <c r="E1" s="59"/>
      <c r="F1" s="59"/>
      <c r="G1" s="59"/>
      <c r="H1" s="3"/>
    </row>
    <row r="2" ht="16.2" spans="1:35">
      <c r="A2" s="60" t="s">
        <v>450</v>
      </c>
      <c r="B2" s="60" t="s">
        <v>361</v>
      </c>
      <c r="C2" s="60" t="s">
        <v>272</v>
      </c>
      <c r="D2" s="61" t="s">
        <v>451</v>
      </c>
      <c r="E2" s="61" t="s">
        <v>452</v>
      </c>
      <c r="F2" s="62" t="s">
        <v>453</v>
      </c>
      <c r="G2" s="61" t="s">
        <v>454</v>
      </c>
      <c r="H2" s="60" t="s">
        <v>455</v>
      </c>
      <c r="I2" s="61" t="s">
        <v>456</v>
      </c>
      <c r="J2" s="63"/>
      <c r="K2" s="63"/>
      <c r="L2" s="64" t="s">
        <v>457</v>
      </c>
      <c r="M2" s="64"/>
      <c r="N2" s="64"/>
      <c r="O2" s="64"/>
    </row>
    <row r="3" ht="16.2" spans="1:35">
      <c r="A3" s="33">
        <f>'【3-2】大区&amp;运营中心填-房间模型价'!H2</f>
        <v>101</v>
      </c>
      <c r="B3" s="33" t="str">
        <f>'【3-2】大区&amp;运营中心填-房间模型价'!I2</f>
        <v>1-41A</v>
      </c>
      <c r="C3" s="65" t="str">
        <f>VLOOKUP(A3,'【3-2】大区&amp;运营中心填-房间模型价'!H:J,3,0)</f>
        <v>开间</v>
      </c>
      <c r="D3" s="13">
        <v>1.5</v>
      </c>
      <c r="E3" s="13">
        <v>0</v>
      </c>
      <c r="F3" s="13"/>
      <c r="G3" s="13">
        <v>1.5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4" t="s">
        <v>54</v>
      </c>
      <c r="J3" s="66"/>
      <c r="K3" s="66"/>
      <c r="L3" s="64" t="s">
        <v>458</v>
      </c>
      <c r="M3" s="64"/>
      <c r="N3" s="64"/>
      <c r="O3" s="64" t="s">
        <v>459</v>
      </c>
    </row>
    <row r="4" ht="15.6" spans="1:35">
      <c r="A4" s="33">
        <f>'【3-2】大区&amp;运营中心填-房间模型价'!H3</f>
        <v>102</v>
      </c>
      <c r="B4" s="33" t="str">
        <f>'【3-2】大区&amp;运营中心填-房间模型价'!I3</f>
        <v>1-41B</v>
      </c>
      <c r="C4" s="65" t="str">
        <f>VLOOKUP(A4,'【3-2】大区&amp;运营中心填-房间模型价'!H:J,3,0)</f>
        <v>一居室</v>
      </c>
      <c r="D4" s="13">
        <v>1.5</v>
      </c>
      <c r="E4" s="13">
        <v>0</v>
      </c>
      <c r="F4" s="13"/>
      <c r="G4" s="13">
        <v>1.5</v>
      </c>
      <c r="H4" s="13" t="str">
        <f t="shared" ref="H4:H38" si="0">IF(C4="开间",IF(D4+E4*2-G4&lt;=0,"1",IF(D4+E4*2-G4&lt;=1,"2",IF(D4+E4*2-G4&lt;=2,"3",IF(D4+E4*2-G4&lt;=3,"4","5")))),IF(D4+E4*2-G4&lt;1.1,"1",IF(D4+E4*2-G4&lt;=2,"2",IF(D4+E4*2-G4&lt;=3,"3",IF(D4+E4*2-G4&lt;=4,"4","5")))))</f>
        <v>1</v>
      </c>
      <c r="I4" s="4" t="s">
        <v>54</v>
      </c>
      <c r="J4" s="66"/>
      <c r="K4" s="66"/>
      <c r="L4" s="4" t="s">
        <v>460</v>
      </c>
      <c r="M4" s="4"/>
      <c r="N4" s="4"/>
      <c r="O4" s="4">
        <v>-1</v>
      </c>
    </row>
    <row r="5" ht="15.6" spans="1:35">
      <c r="A5" s="33">
        <f>'【3-2】大区&amp;运营中心填-房间模型价'!H4</f>
        <v>201</v>
      </c>
      <c r="B5" s="33" t="str">
        <f>'【3-2】大区&amp;运营中心填-房间模型价'!I4</f>
        <v>1-41C</v>
      </c>
      <c r="C5" s="65" t="str">
        <f>VLOOKUP(A5,'【3-2】大区&amp;运营中心填-房间模型价'!H:J,3,0)</f>
        <v>开间</v>
      </c>
      <c r="D5" s="13">
        <v>2</v>
      </c>
      <c r="E5" s="13">
        <v>0</v>
      </c>
      <c r="F5" s="13"/>
      <c r="G5" s="13">
        <v>2</v>
      </c>
      <c r="H5" s="13" t="str">
        <f t="shared" si="0"/>
        <v>1</v>
      </c>
      <c r="I5" s="4" t="s">
        <v>54</v>
      </c>
      <c r="L5" s="67" t="s">
        <v>461</v>
      </c>
      <c r="M5" s="4" t="s">
        <v>462</v>
      </c>
      <c r="N5" s="4"/>
      <c r="O5" s="4">
        <v>0</v>
      </c>
    </row>
    <row r="6" ht="15.6" spans="1:35">
      <c r="A6" s="33">
        <f>'【3-2】大区&amp;运营中心填-房间模型价'!H5</f>
        <v>202</v>
      </c>
      <c r="B6" s="33" t="str">
        <f>'【3-2】大区&amp;运营中心填-房间模型价'!I5</f>
        <v>1-41D</v>
      </c>
      <c r="C6" s="65" t="str">
        <f>VLOOKUP(A6,'【3-2】大区&amp;运营中心填-房间模型价'!H:J,3,0)</f>
        <v>一居室</v>
      </c>
      <c r="D6" s="13">
        <v>2</v>
      </c>
      <c r="E6" s="13">
        <v>0</v>
      </c>
      <c r="F6" s="13"/>
      <c r="G6" s="13">
        <v>1</v>
      </c>
      <c r="H6" s="13" t="str">
        <f t="shared" si="0"/>
        <v>1</v>
      </c>
      <c r="I6" s="4" t="s">
        <v>54</v>
      </c>
      <c r="L6" s="68"/>
      <c r="M6" s="69" t="s">
        <v>463</v>
      </c>
      <c r="N6" s="10"/>
      <c r="O6" s="4">
        <v>0</v>
      </c>
    </row>
    <row r="7" ht="15.6" spans="1:35">
      <c r="A7" s="33">
        <f>'【3-2】大区&amp;运营中心填-房间模型价'!H6</f>
        <v>203</v>
      </c>
      <c r="B7" s="33" t="str">
        <f>'【3-2】大区&amp;运营中心填-房间模型价'!I6</f>
        <v>1-41E</v>
      </c>
      <c r="C7" s="65" t="str">
        <f>VLOOKUP(A7,'【3-2】大区&amp;运营中心填-房间模型价'!H:J,3,0)</f>
        <v>一居室</v>
      </c>
      <c r="D7" s="13">
        <v>3</v>
      </c>
      <c r="E7" s="13">
        <v>1</v>
      </c>
      <c r="F7" s="13">
        <v>3</v>
      </c>
      <c r="G7" s="13">
        <v>1</v>
      </c>
      <c r="H7" s="13" t="str">
        <f t="shared" si="0"/>
        <v>4</v>
      </c>
      <c r="I7" s="4" t="s">
        <v>54</v>
      </c>
      <c r="L7" s="68"/>
      <c r="M7" s="69" t="s">
        <v>464</v>
      </c>
      <c r="N7" s="10"/>
      <c r="O7" s="4" t="s">
        <v>465</v>
      </c>
    </row>
    <row r="8" ht="15.6" spans="1:35">
      <c r="A8" s="33">
        <f>'【3-2】大区&amp;运营中心填-房间模型价'!H7</f>
        <v>301</v>
      </c>
      <c r="B8" s="33" t="str">
        <f>'【3-2】大区&amp;运营中心填-房间模型价'!I7</f>
        <v>1-41F</v>
      </c>
      <c r="C8" s="65" t="str">
        <f>VLOOKUP(A8,'【3-2】大区&amp;运营中心填-房间模型价'!H:J,3,0)</f>
        <v>开间</v>
      </c>
      <c r="D8" s="13">
        <v>1.5</v>
      </c>
      <c r="E8" s="13">
        <v>0</v>
      </c>
      <c r="F8" s="13"/>
      <c r="G8" s="13">
        <v>1.5</v>
      </c>
      <c r="H8" s="13" t="str">
        <f t="shared" si="0"/>
        <v>1</v>
      </c>
      <c r="I8" s="4" t="s">
        <v>54</v>
      </c>
      <c r="L8" s="70"/>
      <c r="M8" s="69" t="s">
        <v>466</v>
      </c>
      <c r="N8" s="10"/>
      <c r="O8" s="4" t="s">
        <v>465</v>
      </c>
    </row>
    <row r="9" ht="15.6" spans="1:35">
      <c r="A9" s="33">
        <f>'【3-2】大区&amp;运营中心填-房间模型价'!H8</f>
        <v>302</v>
      </c>
      <c r="B9" s="33" t="str">
        <f>'【3-2】大区&amp;运营中心填-房间模型价'!I8</f>
        <v>1-41G</v>
      </c>
      <c r="C9" s="65" t="str">
        <f>VLOOKUP(A9,'【3-2】大区&amp;运营中心填-房间模型价'!H:J,3,0)</f>
        <v>一居室</v>
      </c>
      <c r="D9" s="13">
        <v>3</v>
      </c>
      <c r="E9" s="13">
        <v>1</v>
      </c>
      <c r="F9" s="13">
        <v>3</v>
      </c>
      <c r="G9" s="13">
        <v>2</v>
      </c>
      <c r="H9" s="13" t="str">
        <f t="shared" si="0"/>
        <v>3</v>
      </c>
      <c r="I9" s="4" t="s">
        <v>54</v>
      </c>
      <c r="L9" s="4"/>
      <c r="M9" s="4"/>
      <c r="N9" s="4"/>
      <c r="O9" s="4"/>
    </row>
    <row r="10" ht="15.6" spans="1:35">
      <c r="A10" s="33">
        <f>'【3-2】大区&amp;运营中心填-房间模型价'!H9</f>
        <v>303</v>
      </c>
      <c r="B10" s="33" t="str">
        <f>'【3-2】大区&amp;运营中心填-房间模型价'!I9</f>
        <v>1-41G</v>
      </c>
      <c r="C10" s="65" t="str">
        <f>VLOOKUP(A10,'【3-2】大区&amp;运营中心填-房间模型价'!H:J,3,0)</f>
        <v>一居室</v>
      </c>
      <c r="D10" s="13">
        <v>3</v>
      </c>
      <c r="E10" s="13">
        <v>1</v>
      </c>
      <c r="F10" s="13">
        <v>3</v>
      </c>
      <c r="G10" s="13">
        <v>1</v>
      </c>
      <c r="H10" s="13" t="str">
        <f t="shared" si="0"/>
        <v>4</v>
      </c>
      <c r="I10" s="4" t="s">
        <v>54</v>
      </c>
    </row>
    <row r="11" ht="15.6" spans="1:35">
      <c r="A11" s="33">
        <f>'【3-2】大区&amp;运营中心填-房间模型价'!H10</f>
        <v>304</v>
      </c>
      <c r="B11" s="33" t="str">
        <f>'【3-2】大区&amp;运营中心填-房间模型价'!I10</f>
        <v>1-41F</v>
      </c>
      <c r="C11" s="65" t="str">
        <f>VLOOKUP(A11,'【3-2】大区&amp;运营中心填-房间模型价'!H:J,3,0)</f>
        <v>开间</v>
      </c>
      <c r="D11" s="13">
        <v>1.5</v>
      </c>
      <c r="E11" s="13">
        <v>0</v>
      </c>
      <c r="F11" s="13"/>
      <c r="G11" s="13">
        <v>-0.5</v>
      </c>
      <c r="H11" s="13" t="str">
        <f t="shared" si="0"/>
        <v>3</v>
      </c>
      <c r="I11" s="4" t="s">
        <v>54</v>
      </c>
    </row>
    <row r="12" ht="15.6" spans="1:35">
      <c r="A12" s="33">
        <f>'【3-2】大区&amp;运营中心填-房间模型价'!H11</f>
        <v>401</v>
      </c>
      <c r="B12" s="33" t="str">
        <f>'【3-2】大区&amp;运营中心填-房间模型价'!I11</f>
        <v>1-41F</v>
      </c>
      <c r="C12" s="65" t="str">
        <f>VLOOKUP(A12,'【3-2】大区&amp;运营中心填-房间模型价'!H:J,3,0)</f>
        <v>开间</v>
      </c>
      <c r="D12" s="13">
        <v>1.5</v>
      </c>
      <c r="E12" s="13">
        <v>0</v>
      </c>
      <c r="F12" s="13"/>
      <c r="G12" s="13">
        <v>1.5</v>
      </c>
      <c r="H12" s="13" t="str">
        <f t="shared" si="0"/>
        <v>1</v>
      </c>
      <c r="I12" s="4" t="s">
        <v>54</v>
      </c>
    </row>
    <row r="13" ht="15.6" spans="1:35">
      <c r="A13" s="33">
        <f>'【3-2】大区&amp;运营中心填-房间模型价'!H12</f>
        <v>402</v>
      </c>
      <c r="B13" s="33" t="str">
        <f>'【3-2】大区&amp;运营中心填-房间模型价'!I12</f>
        <v>1-41G</v>
      </c>
      <c r="C13" s="65" t="str">
        <f>VLOOKUP(A13,'【3-2】大区&amp;运营中心填-房间模型价'!H:J,3,0)</f>
        <v>一居室</v>
      </c>
      <c r="D13" s="13">
        <v>3</v>
      </c>
      <c r="E13" s="13">
        <v>1</v>
      </c>
      <c r="F13" s="13">
        <v>3</v>
      </c>
      <c r="G13" s="13">
        <v>2</v>
      </c>
      <c r="H13" s="13" t="str">
        <f t="shared" si="0"/>
        <v>3</v>
      </c>
      <c r="I13" s="4" t="s">
        <v>54</v>
      </c>
    </row>
    <row r="14" ht="15.6" spans="1:35">
      <c r="A14" s="33">
        <f>'【3-2】大区&amp;运营中心填-房间模型价'!H13</f>
        <v>403</v>
      </c>
      <c r="B14" s="33" t="str">
        <f>'【3-2】大区&amp;运营中心填-房间模型价'!I13</f>
        <v>1-41G</v>
      </c>
      <c r="C14" s="65" t="str">
        <f>VLOOKUP(A14,'【3-2】大区&amp;运营中心填-房间模型价'!H:J,3,0)</f>
        <v>一居室</v>
      </c>
      <c r="D14" s="13">
        <v>3</v>
      </c>
      <c r="E14" s="13">
        <v>1</v>
      </c>
      <c r="F14" s="13">
        <v>3</v>
      </c>
      <c r="G14" s="13">
        <v>1</v>
      </c>
      <c r="H14" s="13" t="str">
        <f t="shared" si="0"/>
        <v>4</v>
      </c>
      <c r="I14" s="4" t="s">
        <v>54</v>
      </c>
    </row>
    <row r="15" ht="15.6" spans="1:35">
      <c r="A15" s="33">
        <f>'【3-2】大区&amp;运营中心填-房间模型价'!H14</f>
        <v>404</v>
      </c>
      <c r="B15" s="33" t="str">
        <f>'【3-2】大区&amp;运营中心填-房间模型价'!I14</f>
        <v>1-41F</v>
      </c>
      <c r="C15" s="65" t="str">
        <f>VLOOKUP(A15,'【3-2】大区&amp;运营中心填-房间模型价'!H:J,3,0)</f>
        <v>开间</v>
      </c>
      <c r="D15" s="13">
        <v>1.5</v>
      </c>
      <c r="E15" s="13">
        <v>0</v>
      </c>
      <c r="F15" s="13"/>
      <c r="G15" s="13">
        <v>-0.5</v>
      </c>
      <c r="H15" s="13" t="str">
        <f t="shared" si="0"/>
        <v>3</v>
      </c>
      <c r="I15" s="4" t="s">
        <v>54</v>
      </c>
    </row>
    <row r="16" ht="23.4" spans="1:35">
      <c r="A16" s="33">
        <f>'【3-2】大区&amp;运营中心填-房间模型价'!H15</f>
        <v>501</v>
      </c>
      <c r="B16" s="33" t="str">
        <f>'【3-2】大区&amp;运营中心填-房间模型价'!I15</f>
        <v>1-41F</v>
      </c>
      <c r="C16" s="65" t="str">
        <f>VLOOKUP(A16,'【3-2】大区&amp;运营中心填-房间模型价'!H:J,3,0)</f>
        <v>开间</v>
      </c>
      <c r="D16" s="13">
        <v>1.5</v>
      </c>
      <c r="E16" s="13">
        <v>0</v>
      </c>
      <c r="F16" s="13"/>
      <c r="G16" s="13">
        <v>1.5</v>
      </c>
      <c r="H16" s="13" t="str">
        <f t="shared" si="0"/>
        <v>1</v>
      </c>
      <c r="I16" s="4" t="s">
        <v>54</v>
      </c>
      <c r="L16" s="71" t="s">
        <v>467</v>
      </c>
      <c r="M16" s="71"/>
      <c r="N16" s="71"/>
      <c r="O16" s="71"/>
      <c r="P16" s="71"/>
      <c r="R16" s="71" t="s">
        <v>468</v>
      </c>
      <c r="S16" s="71"/>
      <c r="T16" s="71"/>
      <c r="U16" s="71"/>
      <c r="V16" s="71"/>
      <c r="W16" s="71"/>
      <c r="X16" s="71"/>
      <c r="Y16" s="71"/>
      <c r="Z16" s="71"/>
      <c r="AB16" s="71" t="s">
        <v>469</v>
      </c>
      <c r="AC16" s="71"/>
      <c r="AD16" s="71"/>
      <c r="AE16" s="71"/>
      <c r="AF16" s="71"/>
      <c r="AG16" s="71"/>
      <c r="AH16" s="71"/>
      <c r="AI16" s="71"/>
    </row>
    <row r="17" ht="15.6" spans="1:9">
      <c r="A17" s="33">
        <f>'【3-2】大区&amp;运营中心填-房间模型价'!H16</f>
        <v>502</v>
      </c>
      <c r="B17" s="33" t="str">
        <f>'【3-2】大区&amp;运营中心填-房间模型价'!I16</f>
        <v>1-41G</v>
      </c>
      <c r="C17" s="65" t="str">
        <f>VLOOKUP(A17,'【3-2】大区&amp;运营中心填-房间模型价'!H:J,3,0)</f>
        <v>一居室</v>
      </c>
      <c r="D17" s="13">
        <v>3</v>
      </c>
      <c r="E17" s="13">
        <v>1</v>
      </c>
      <c r="F17" s="13">
        <v>3</v>
      </c>
      <c r="G17" s="13">
        <v>2</v>
      </c>
      <c r="H17" s="13" t="str">
        <f t="shared" si="0"/>
        <v>3</v>
      </c>
      <c r="I17" s="4" t="s">
        <v>54</v>
      </c>
    </row>
    <row r="18" ht="15.6" spans="1:9">
      <c r="A18" s="33">
        <f>'【3-2】大区&amp;运营中心填-房间模型价'!H17</f>
        <v>503</v>
      </c>
      <c r="B18" s="33" t="str">
        <f>'【3-2】大区&amp;运营中心填-房间模型价'!I17</f>
        <v>1-41G</v>
      </c>
      <c r="C18" s="65" t="str">
        <f>VLOOKUP(A18,'【3-2】大区&amp;运营中心填-房间模型价'!H:J,3,0)</f>
        <v>一居室</v>
      </c>
      <c r="D18" s="13">
        <v>3</v>
      </c>
      <c r="E18" s="13">
        <v>1</v>
      </c>
      <c r="F18" s="13">
        <v>3</v>
      </c>
      <c r="G18" s="13">
        <v>1</v>
      </c>
      <c r="H18" s="13" t="str">
        <f t="shared" si="0"/>
        <v>4</v>
      </c>
      <c r="I18" s="4" t="s">
        <v>54</v>
      </c>
    </row>
    <row r="19" ht="15.6" spans="1:9">
      <c r="A19" s="33">
        <f>'【3-2】大区&amp;运营中心填-房间模型价'!H18</f>
        <v>504</v>
      </c>
      <c r="B19" s="33" t="str">
        <f>'【3-2】大区&amp;运营中心填-房间模型价'!I18</f>
        <v>1-41F</v>
      </c>
      <c r="C19" s="65" t="str">
        <f>VLOOKUP(A19,'【3-2】大区&amp;运营中心填-房间模型价'!H:J,3,0)</f>
        <v>开间</v>
      </c>
      <c r="D19" s="13">
        <v>1.5</v>
      </c>
      <c r="E19" s="13">
        <v>0</v>
      </c>
      <c r="F19" s="13"/>
      <c r="G19" s="13">
        <v>-0.5</v>
      </c>
      <c r="H19" s="13" t="str">
        <f t="shared" si="0"/>
        <v>3</v>
      </c>
      <c r="I19" s="4" t="s">
        <v>54</v>
      </c>
    </row>
    <row r="20" ht="15.6" spans="1:9">
      <c r="A20" s="33">
        <f>'【3-2】大区&amp;运营中心填-房间模型价'!H19</f>
        <v>601</v>
      </c>
      <c r="B20" s="33" t="str">
        <f>'【3-2】大区&amp;运营中心填-房间模型价'!I19</f>
        <v>1-41F</v>
      </c>
      <c r="C20" s="65" t="str">
        <f>VLOOKUP(A20,'【3-2】大区&amp;运营中心填-房间模型价'!H:J,3,0)</f>
        <v>开间</v>
      </c>
      <c r="D20" s="13">
        <v>1.5</v>
      </c>
      <c r="E20" s="13">
        <v>0</v>
      </c>
      <c r="F20" s="13"/>
      <c r="G20" s="13">
        <v>0.5</v>
      </c>
      <c r="H20" s="13" t="str">
        <f t="shared" si="0"/>
        <v>2</v>
      </c>
      <c r="I20" s="4" t="s">
        <v>54</v>
      </c>
    </row>
    <row r="21" ht="15.6" spans="1:9">
      <c r="A21" s="33">
        <f>'【3-2】大区&amp;运营中心填-房间模型价'!H20</f>
        <v>602</v>
      </c>
      <c r="B21" s="33" t="str">
        <f>'【3-2】大区&amp;运营中心填-房间模型价'!I20</f>
        <v>1-41F</v>
      </c>
      <c r="C21" s="65" t="str">
        <f>VLOOKUP(A21,'【3-2】大区&amp;运营中心填-房间模型价'!H:J,3,0)</f>
        <v>开间</v>
      </c>
      <c r="D21" s="13">
        <v>1.5</v>
      </c>
      <c r="E21" s="13">
        <v>0</v>
      </c>
      <c r="F21" s="13"/>
      <c r="G21" s="13">
        <v>-1.5</v>
      </c>
      <c r="H21" s="13" t="str">
        <f t="shared" si="0"/>
        <v>4</v>
      </c>
      <c r="I21" s="4" t="s">
        <v>54</v>
      </c>
    </row>
    <row r="22" spans="1:9">
      <c r="A22" s="33" t="e">
        <f>'【3-2】大区&amp;运营中心填-房间模型价'!#REF!</f>
        <v>#REF!</v>
      </c>
      <c r="B22" s="33" t="e">
        <f>'【3-2】大区&amp;运营中心填-房间模型价'!#REF!</f>
        <v>#REF!</v>
      </c>
      <c r="C22" s="65" t="e">
        <f>VLOOKUP(A22,'【3-2】大区&amp;运营中心填-房间模型价'!H:J,3,0)</f>
        <v>#REF!</v>
      </c>
      <c r="D22" s="13"/>
      <c r="E22" s="13"/>
      <c r="F22" s="13"/>
      <c r="G22" s="13"/>
      <c r="H22" s="13" t="e">
        <f t="shared" si="0"/>
        <v>#REF!</v>
      </c>
      <c r="I22" s="72"/>
    </row>
    <row r="23" spans="1:9">
      <c r="A23" s="33" t="e">
        <f>'【3-2】大区&amp;运营中心填-房间模型价'!#REF!</f>
        <v>#REF!</v>
      </c>
      <c r="B23" s="33" t="e">
        <f>'【3-2】大区&amp;运营中心填-房间模型价'!#REF!</f>
        <v>#REF!</v>
      </c>
      <c r="C23" s="65" t="e">
        <f>VLOOKUP(A23,'【3-2】大区&amp;运营中心填-房间模型价'!H:J,3,0)</f>
        <v>#REF!</v>
      </c>
      <c r="D23" s="13"/>
      <c r="E23" s="13"/>
      <c r="F23" s="13"/>
      <c r="G23" s="13"/>
      <c r="H23" s="13" t="e">
        <f t="shared" si="0"/>
        <v>#REF!</v>
      </c>
      <c r="I23" s="72"/>
    </row>
    <row r="24" spans="1:9">
      <c r="A24" s="33" t="e">
        <f>'【3-2】大区&amp;运营中心填-房间模型价'!#REF!</f>
        <v>#REF!</v>
      </c>
      <c r="B24" s="33" t="e">
        <f>'【3-2】大区&amp;运营中心填-房间模型价'!#REF!</f>
        <v>#REF!</v>
      </c>
      <c r="C24" s="65" t="e">
        <f>VLOOKUP(A24,'【3-2】大区&amp;运营中心填-房间模型价'!H:J,3,0)</f>
        <v>#REF!</v>
      </c>
      <c r="D24" s="13"/>
      <c r="E24" s="13"/>
      <c r="F24" s="13"/>
      <c r="G24" s="13"/>
      <c r="H24" s="13" t="e">
        <f t="shared" si="0"/>
        <v>#REF!</v>
      </c>
      <c r="I24" s="72"/>
    </row>
    <row r="25" spans="1:9">
      <c r="A25" s="33" t="e">
        <f>'【3-2】大区&amp;运营中心填-房间模型价'!#REF!</f>
        <v>#REF!</v>
      </c>
      <c r="B25" s="33" t="e">
        <f>'【3-2】大区&amp;运营中心填-房间模型价'!#REF!</f>
        <v>#REF!</v>
      </c>
      <c r="C25" s="65" t="e">
        <f>VLOOKUP(A25,'【3-2】大区&amp;运营中心填-房间模型价'!H:J,3,0)</f>
        <v>#REF!</v>
      </c>
      <c r="D25" s="13"/>
      <c r="E25" s="13"/>
      <c r="F25" s="13"/>
      <c r="G25" s="13"/>
      <c r="H25" s="13" t="e">
        <f t="shared" si="0"/>
        <v>#REF!</v>
      </c>
      <c r="I25" s="72"/>
    </row>
    <row r="26" spans="1:9">
      <c r="A26" s="33" t="e">
        <f>'【3-2】大区&amp;运营中心填-房间模型价'!#REF!</f>
        <v>#REF!</v>
      </c>
      <c r="B26" s="33" t="e">
        <f>'【3-2】大区&amp;运营中心填-房间模型价'!#REF!</f>
        <v>#REF!</v>
      </c>
      <c r="C26" s="65" t="e">
        <f>VLOOKUP(A26,'【3-2】大区&amp;运营中心填-房间模型价'!H:J,3,0)</f>
        <v>#REF!</v>
      </c>
      <c r="D26" s="13"/>
      <c r="E26" s="13"/>
      <c r="F26" s="13"/>
      <c r="G26" s="13"/>
      <c r="H26" s="13" t="e">
        <f t="shared" si="0"/>
        <v>#REF!</v>
      </c>
      <c r="I26" s="72"/>
    </row>
    <row r="27" spans="1:9">
      <c r="A27" s="33" t="e">
        <f>'【3-2】大区&amp;运营中心填-房间模型价'!#REF!</f>
        <v>#REF!</v>
      </c>
      <c r="B27" s="33" t="e">
        <f>'【3-2】大区&amp;运营中心填-房间模型价'!#REF!</f>
        <v>#REF!</v>
      </c>
      <c r="C27" s="65" t="e">
        <f>VLOOKUP(A27,'【3-2】大区&amp;运营中心填-房间模型价'!H:J,3,0)</f>
        <v>#REF!</v>
      </c>
      <c r="D27" s="13"/>
      <c r="E27" s="13"/>
      <c r="F27" s="13"/>
      <c r="G27" s="13"/>
      <c r="H27" s="13" t="e">
        <f t="shared" si="0"/>
        <v>#REF!</v>
      </c>
      <c r="I27" s="72"/>
    </row>
    <row r="28" spans="1:9">
      <c r="A28" s="33" t="e">
        <f>'【3-2】大区&amp;运营中心填-房间模型价'!#REF!</f>
        <v>#REF!</v>
      </c>
      <c r="B28" s="33" t="e">
        <f>'【3-2】大区&amp;运营中心填-房间模型价'!#REF!</f>
        <v>#REF!</v>
      </c>
      <c r="C28" s="65" t="e">
        <f>VLOOKUP(A28,'【3-2】大区&amp;运营中心填-房间模型价'!H:J,3,0)</f>
        <v>#REF!</v>
      </c>
      <c r="D28" s="13"/>
      <c r="E28" s="13"/>
      <c r="F28" s="13"/>
      <c r="G28" s="13"/>
      <c r="H28" s="13" t="e">
        <f t="shared" si="0"/>
        <v>#REF!</v>
      </c>
      <c r="I28" s="72"/>
    </row>
    <row r="29" spans="1:9">
      <c r="A29" s="33" t="e">
        <f>'【3-2】大区&amp;运营中心填-房间模型价'!#REF!</f>
        <v>#REF!</v>
      </c>
      <c r="B29" s="33" t="e">
        <f>'【3-2】大区&amp;运营中心填-房间模型价'!#REF!</f>
        <v>#REF!</v>
      </c>
      <c r="C29" s="65" t="e">
        <f>VLOOKUP(A29,'【3-2】大区&amp;运营中心填-房间模型价'!H:J,3,0)</f>
        <v>#REF!</v>
      </c>
      <c r="D29" s="13"/>
      <c r="E29" s="13"/>
      <c r="F29" s="13"/>
      <c r="G29" s="13"/>
      <c r="H29" s="13" t="e">
        <f t="shared" si="0"/>
        <v>#REF!</v>
      </c>
      <c r="I29" s="72"/>
    </row>
    <row r="30" spans="1:9">
      <c r="A30" s="33" t="e">
        <f>'【3-2】大区&amp;运营中心填-房间模型价'!#REF!</f>
        <v>#REF!</v>
      </c>
      <c r="B30" s="33" t="e">
        <f>'【3-2】大区&amp;运营中心填-房间模型价'!#REF!</f>
        <v>#REF!</v>
      </c>
      <c r="C30" s="65" t="e">
        <f>VLOOKUP(A30,'【3-2】大区&amp;运营中心填-房间模型价'!H:J,3,0)</f>
        <v>#REF!</v>
      </c>
      <c r="D30" s="13"/>
      <c r="E30" s="13"/>
      <c r="F30" s="13"/>
      <c r="G30" s="13"/>
      <c r="H30" s="13" t="e">
        <f t="shared" si="0"/>
        <v>#REF!</v>
      </c>
      <c r="I30" s="72"/>
    </row>
    <row r="31" spans="1:9">
      <c r="A31" s="33" t="e">
        <f>'【3-2】大区&amp;运营中心填-房间模型价'!#REF!</f>
        <v>#REF!</v>
      </c>
      <c r="B31" s="33" t="e">
        <f>'【3-2】大区&amp;运营中心填-房间模型价'!#REF!</f>
        <v>#REF!</v>
      </c>
      <c r="C31" s="65" t="e">
        <f>VLOOKUP(A31,'【3-2】大区&amp;运营中心填-房间模型价'!H:J,3,0)</f>
        <v>#REF!</v>
      </c>
      <c r="D31" s="13"/>
      <c r="E31" s="13"/>
      <c r="F31" s="13"/>
      <c r="G31" s="13"/>
      <c r="H31" s="13" t="e">
        <f t="shared" si="0"/>
        <v>#REF!</v>
      </c>
      <c r="I31" s="72"/>
    </row>
    <row r="32" spans="1:9">
      <c r="A32" s="33" t="e">
        <f>'【3-2】大区&amp;运营中心填-房间模型价'!#REF!</f>
        <v>#REF!</v>
      </c>
      <c r="B32" s="33" t="e">
        <f>'【3-2】大区&amp;运营中心填-房间模型价'!#REF!</f>
        <v>#REF!</v>
      </c>
      <c r="C32" s="65" t="e">
        <f>VLOOKUP(A32,'【3-2】大区&amp;运营中心填-房间模型价'!H:J,3,0)</f>
        <v>#REF!</v>
      </c>
      <c r="D32" s="13"/>
      <c r="E32" s="13"/>
      <c r="F32" s="13"/>
      <c r="G32" s="13"/>
      <c r="H32" s="13" t="e">
        <f t="shared" si="0"/>
        <v>#REF!</v>
      </c>
      <c r="I32" s="72"/>
    </row>
    <row r="33" spans="1:9">
      <c r="A33" s="33" t="e">
        <f>'【3-2】大区&amp;运营中心填-房间模型价'!#REF!</f>
        <v>#REF!</v>
      </c>
      <c r="B33" s="33" t="e">
        <f>'【3-2】大区&amp;运营中心填-房间模型价'!#REF!</f>
        <v>#REF!</v>
      </c>
      <c r="C33" s="65" t="e">
        <f>VLOOKUP(A33,'【3-2】大区&amp;运营中心填-房间模型价'!H:J,3,0)</f>
        <v>#REF!</v>
      </c>
      <c r="D33" s="13"/>
      <c r="E33" s="13"/>
      <c r="F33" s="13"/>
      <c r="G33" s="13"/>
      <c r="H33" s="13" t="e">
        <f t="shared" si="0"/>
        <v>#REF!</v>
      </c>
      <c r="I33" s="72"/>
    </row>
    <row r="34" spans="1:9">
      <c r="A34" s="33" t="e">
        <f>'【3-2】大区&amp;运营中心填-房间模型价'!#REF!</f>
        <v>#REF!</v>
      </c>
      <c r="B34" s="33" t="e">
        <f>'【3-2】大区&amp;运营中心填-房间模型价'!#REF!</f>
        <v>#REF!</v>
      </c>
      <c r="C34" s="65" t="e">
        <f>VLOOKUP(A34,'【3-2】大区&amp;运营中心填-房间模型价'!H:J,3,0)</f>
        <v>#REF!</v>
      </c>
      <c r="D34" s="13"/>
      <c r="E34" s="13"/>
      <c r="F34" s="13"/>
      <c r="G34" s="13"/>
      <c r="H34" s="13" t="e">
        <f t="shared" si="0"/>
        <v>#REF!</v>
      </c>
      <c r="I34" s="72"/>
    </row>
    <row r="35" spans="1:9">
      <c r="A35" s="33" t="e">
        <f>'【3-2】大区&amp;运营中心填-房间模型价'!#REF!</f>
        <v>#REF!</v>
      </c>
      <c r="B35" s="33" t="e">
        <f>'【3-2】大区&amp;运营中心填-房间模型价'!#REF!</f>
        <v>#REF!</v>
      </c>
      <c r="C35" s="65" t="e">
        <f>VLOOKUP(A35,'【3-2】大区&amp;运营中心填-房间模型价'!H:J,3,0)</f>
        <v>#REF!</v>
      </c>
      <c r="D35" s="13"/>
      <c r="E35" s="13"/>
      <c r="F35" s="13"/>
      <c r="G35" s="13"/>
      <c r="H35" s="13" t="e">
        <f t="shared" si="0"/>
        <v>#REF!</v>
      </c>
      <c r="I35" s="72"/>
    </row>
    <row r="36" spans="1:9">
      <c r="A36" s="33" t="e">
        <f>'【3-2】大区&amp;运营中心填-房间模型价'!#REF!</f>
        <v>#REF!</v>
      </c>
      <c r="B36" s="33" t="e">
        <f>'【3-2】大区&amp;运营中心填-房间模型价'!#REF!</f>
        <v>#REF!</v>
      </c>
      <c r="C36" s="65" t="e">
        <f>VLOOKUP(A36,'【3-2】大区&amp;运营中心填-房间模型价'!H:J,3,0)</f>
        <v>#REF!</v>
      </c>
      <c r="D36" s="13"/>
      <c r="E36" s="13"/>
      <c r="F36" s="13"/>
      <c r="G36" s="13"/>
      <c r="H36" s="13" t="e">
        <f t="shared" si="0"/>
        <v>#REF!</v>
      </c>
      <c r="I36" s="72"/>
    </row>
    <row r="37" spans="1:9">
      <c r="A37" s="33" t="e">
        <f>'【3-2】大区&amp;运营中心填-房间模型价'!#REF!</f>
        <v>#REF!</v>
      </c>
      <c r="B37" s="33" t="e">
        <f>'【3-2】大区&amp;运营中心填-房间模型价'!#REF!</f>
        <v>#REF!</v>
      </c>
      <c r="C37" s="65" t="e">
        <f>VLOOKUP(A37,'【3-2】大区&amp;运营中心填-房间模型价'!H:J,3,0)</f>
        <v>#REF!</v>
      </c>
      <c r="D37" s="13"/>
      <c r="E37" s="13"/>
      <c r="F37" s="13"/>
      <c r="G37" s="13"/>
      <c r="H37" s="13" t="e">
        <f t="shared" si="0"/>
        <v>#REF!</v>
      </c>
      <c r="I37" s="72"/>
    </row>
    <row r="38" spans="1:9">
      <c r="A38" s="33" t="e">
        <f>'【3-2】大区&amp;运营中心填-房间模型价'!#REF!</f>
        <v>#REF!</v>
      </c>
      <c r="B38" s="33" t="e">
        <f>'【3-2】大区&amp;运营中心填-房间模型价'!#REF!</f>
        <v>#REF!</v>
      </c>
      <c r="C38" s="65" t="e">
        <f>VLOOKUP(A38,'【3-2】大区&amp;运营中心填-房间模型价'!H:J,3,0)</f>
        <v>#REF!</v>
      </c>
      <c r="D38" s="13"/>
      <c r="E38" s="13"/>
      <c r="F38" s="13"/>
      <c r="G38" s="13"/>
      <c r="H38" s="13" t="e">
        <f t="shared" si="0"/>
        <v>#REF!</v>
      </c>
      <c r="I38" s="72"/>
    </row>
    <row r="39" spans="1:9">
      <c r="A39" s="33" t="e">
        <f>'【3-2】大区&amp;运营中心填-房间模型价'!#REF!</f>
        <v>#REF!</v>
      </c>
      <c r="B39" s="33" t="e">
        <f>'【3-2】大区&amp;运营中心填-房间模型价'!#REF!</f>
        <v>#REF!</v>
      </c>
      <c r="C39" s="65" t="e">
        <f>VLOOKUP(A39,'【3-2】大区&amp;运营中心填-房间模型价'!H:J,3,0)</f>
        <v>#REF!</v>
      </c>
      <c r="D39" s="13"/>
      <c r="E39" s="13"/>
      <c r="F39" s="13"/>
      <c r="G39" s="13"/>
      <c r="H39" s="13" t="e">
        <f t="shared" ref="H39:H70" si="1">IF(C39="开间",IF(D39+E39*2-G39&lt;=0,"1",IF(D39+E39*2-G39&lt;=1,"2",IF(D39+E39*2-G39&lt;=2,"3",IF(D39+E39*2-G39&lt;=3,"4","5")))),IF(D39+E39*2-G39&lt;1.1,"1",IF(D39+E39*2-G39&lt;=2,"2",IF(D39+E39*2-G39&lt;=3,"3",IF(D39+E39*2-G39&lt;=4,"4","5")))))</f>
        <v>#REF!</v>
      </c>
      <c r="I39" s="72"/>
    </row>
    <row r="40" spans="1:9">
      <c r="A40" s="33" t="e">
        <f>'【3-2】大区&amp;运营中心填-房间模型价'!#REF!</f>
        <v>#REF!</v>
      </c>
      <c r="B40" s="33" t="e">
        <f>'【3-2】大区&amp;运营中心填-房间模型价'!#REF!</f>
        <v>#REF!</v>
      </c>
      <c r="C40" s="65" t="e">
        <f>VLOOKUP(A40,'【3-2】大区&amp;运营中心填-房间模型价'!H:J,3,0)</f>
        <v>#REF!</v>
      </c>
      <c r="D40" s="13"/>
      <c r="E40" s="13"/>
      <c r="F40" s="13"/>
      <c r="G40" s="13"/>
      <c r="H40" s="13" t="e">
        <f t="shared" si="1"/>
        <v>#REF!</v>
      </c>
      <c r="I40" s="72"/>
    </row>
    <row r="41" spans="1:9">
      <c r="A41" s="33" t="e">
        <f>'【3-2】大区&amp;运营中心填-房间模型价'!#REF!</f>
        <v>#REF!</v>
      </c>
      <c r="B41" s="33" t="e">
        <f>'【3-2】大区&amp;运营中心填-房间模型价'!#REF!</f>
        <v>#REF!</v>
      </c>
      <c r="C41" s="65" t="e">
        <f>VLOOKUP(A41,'【3-2】大区&amp;运营中心填-房间模型价'!H:J,3,0)</f>
        <v>#REF!</v>
      </c>
      <c r="D41" s="13"/>
      <c r="E41" s="13"/>
      <c r="F41" s="13"/>
      <c r="G41" s="13"/>
      <c r="H41" s="13" t="e">
        <f t="shared" si="1"/>
        <v>#REF!</v>
      </c>
      <c r="I41" s="72"/>
    </row>
    <row r="42" spans="1:9">
      <c r="A42" s="33" t="e">
        <f>'【3-2】大区&amp;运营中心填-房间模型价'!#REF!</f>
        <v>#REF!</v>
      </c>
      <c r="B42" s="33" t="e">
        <f>'【3-2】大区&amp;运营中心填-房间模型价'!#REF!</f>
        <v>#REF!</v>
      </c>
      <c r="C42" s="65" t="e">
        <f>VLOOKUP(A42,'【3-2】大区&amp;运营中心填-房间模型价'!H:J,3,0)</f>
        <v>#REF!</v>
      </c>
      <c r="D42" s="13"/>
      <c r="E42" s="13"/>
      <c r="F42" s="13"/>
      <c r="G42" s="13"/>
      <c r="H42" s="13" t="e">
        <f t="shared" si="1"/>
        <v>#REF!</v>
      </c>
      <c r="I42" s="72"/>
    </row>
    <row r="43" spans="1:9">
      <c r="A43" s="33" t="e">
        <f>'【3-2】大区&amp;运营中心填-房间模型价'!#REF!</f>
        <v>#REF!</v>
      </c>
      <c r="B43" s="33" t="e">
        <f>'【3-2】大区&amp;运营中心填-房间模型价'!#REF!</f>
        <v>#REF!</v>
      </c>
      <c r="C43" s="65" t="e">
        <f>VLOOKUP(A43,'【3-2】大区&amp;运营中心填-房间模型价'!H:J,3,0)</f>
        <v>#REF!</v>
      </c>
      <c r="D43" s="13"/>
      <c r="E43" s="13"/>
      <c r="F43" s="13"/>
      <c r="G43" s="13"/>
      <c r="H43" s="13" t="e">
        <f t="shared" si="1"/>
        <v>#REF!</v>
      </c>
      <c r="I43" s="72"/>
    </row>
    <row r="44" spans="1:9">
      <c r="A44" s="33" t="e">
        <f>'【3-2】大区&amp;运营中心填-房间模型价'!#REF!</f>
        <v>#REF!</v>
      </c>
      <c r="B44" s="33" t="e">
        <f>'【3-2】大区&amp;运营中心填-房间模型价'!#REF!</f>
        <v>#REF!</v>
      </c>
      <c r="C44" s="65" t="e">
        <f>VLOOKUP(A44,'【3-2】大区&amp;运营中心填-房间模型价'!H:J,3,0)</f>
        <v>#REF!</v>
      </c>
      <c r="D44" s="13"/>
      <c r="E44" s="13"/>
      <c r="F44" s="13"/>
      <c r="G44" s="13"/>
      <c r="H44" s="13" t="e">
        <f t="shared" si="1"/>
        <v>#REF!</v>
      </c>
      <c r="I44" s="72"/>
    </row>
    <row r="45" spans="1:9">
      <c r="A45" s="33" t="e">
        <f>'【3-2】大区&amp;运营中心填-房间模型价'!#REF!</f>
        <v>#REF!</v>
      </c>
      <c r="B45" s="33" t="e">
        <f>'【3-2】大区&amp;运营中心填-房间模型价'!#REF!</f>
        <v>#REF!</v>
      </c>
      <c r="C45" s="65" t="e">
        <f>VLOOKUP(A45,'【3-2】大区&amp;运营中心填-房间模型价'!H:J,3,0)</f>
        <v>#REF!</v>
      </c>
      <c r="D45" s="13"/>
      <c r="E45" s="13"/>
      <c r="F45" s="13"/>
      <c r="G45" s="13"/>
      <c r="H45" s="13" t="e">
        <f t="shared" si="1"/>
        <v>#REF!</v>
      </c>
      <c r="I45" s="72"/>
    </row>
    <row r="46" spans="1:9">
      <c r="A46" s="33" t="e">
        <f>'【3-2】大区&amp;运营中心填-房间模型价'!#REF!</f>
        <v>#REF!</v>
      </c>
      <c r="B46" s="33" t="e">
        <f>'【3-2】大区&amp;运营中心填-房间模型价'!#REF!</f>
        <v>#REF!</v>
      </c>
      <c r="C46" s="65" t="e">
        <f>VLOOKUP(A46,'【3-2】大区&amp;运营中心填-房间模型价'!H:J,3,0)</f>
        <v>#REF!</v>
      </c>
      <c r="D46" s="13"/>
      <c r="E46" s="13"/>
      <c r="F46" s="13"/>
      <c r="G46" s="13"/>
      <c r="H46" s="13" t="e">
        <f t="shared" si="1"/>
        <v>#REF!</v>
      </c>
      <c r="I46" s="72"/>
    </row>
    <row r="47" spans="1:9">
      <c r="A47" s="33" t="e">
        <f>'【3-2】大区&amp;运营中心填-房间模型价'!#REF!</f>
        <v>#REF!</v>
      </c>
      <c r="B47" s="33" t="e">
        <f>'【3-2】大区&amp;运营中心填-房间模型价'!#REF!</f>
        <v>#REF!</v>
      </c>
      <c r="C47" s="65" t="e">
        <f>VLOOKUP(A47,'【3-2】大区&amp;运营中心填-房间模型价'!H:J,3,0)</f>
        <v>#REF!</v>
      </c>
      <c r="D47" s="13"/>
      <c r="E47" s="13"/>
      <c r="F47" s="13"/>
      <c r="G47" s="13"/>
      <c r="H47" s="13" t="e">
        <f t="shared" si="1"/>
        <v>#REF!</v>
      </c>
      <c r="I47" s="72"/>
    </row>
    <row r="48" spans="1:9">
      <c r="A48" s="33" t="e">
        <f>'【3-2】大区&amp;运营中心填-房间模型价'!#REF!</f>
        <v>#REF!</v>
      </c>
      <c r="B48" s="33" t="e">
        <f>'【3-2】大区&amp;运营中心填-房间模型价'!#REF!</f>
        <v>#REF!</v>
      </c>
      <c r="C48" s="65" t="e">
        <f>VLOOKUP(A48,'【3-2】大区&amp;运营中心填-房间模型价'!H:J,3,0)</f>
        <v>#REF!</v>
      </c>
      <c r="D48" s="13"/>
      <c r="E48" s="13"/>
      <c r="F48" s="13"/>
      <c r="G48" s="13"/>
      <c r="H48" s="13" t="e">
        <f t="shared" si="1"/>
        <v>#REF!</v>
      </c>
      <c r="I48" s="72"/>
    </row>
    <row r="49" spans="1:9">
      <c r="A49" s="33" t="e">
        <f>'【3-2】大区&amp;运营中心填-房间模型价'!#REF!</f>
        <v>#REF!</v>
      </c>
      <c r="B49" s="33" t="e">
        <f>'【3-2】大区&amp;运营中心填-房间模型价'!#REF!</f>
        <v>#REF!</v>
      </c>
      <c r="C49" s="65" t="e">
        <f>VLOOKUP(A49,'【3-2】大区&amp;运营中心填-房间模型价'!H:J,3,0)</f>
        <v>#REF!</v>
      </c>
      <c r="D49" s="13"/>
      <c r="E49" s="13"/>
      <c r="F49" s="13"/>
      <c r="G49" s="13"/>
      <c r="H49" s="13" t="e">
        <f t="shared" si="1"/>
        <v>#REF!</v>
      </c>
      <c r="I49" s="72"/>
    </row>
    <row r="50" spans="1:9">
      <c r="A50" s="33" t="e">
        <f>'【3-2】大区&amp;运营中心填-房间模型价'!#REF!</f>
        <v>#REF!</v>
      </c>
      <c r="B50" s="33" t="e">
        <f>'【3-2】大区&amp;运营中心填-房间模型价'!#REF!</f>
        <v>#REF!</v>
      </c>
      <c r="C50" s="65" t="e">
        <f>VLOOKUP(A50,'【3-2】大区&amp;运营中心填-房间模型价'!H:J,3,0)</f>
        <v>#REF!</v>
      </c>
      <c r="D50" s="13"/>
      <c r="E50" s="13"/>
      <c r="F50" s="13"/>
      <c r="G50" s="13"/>
      <c r="H50" s="13" t="e">
        <f t="shared" si="1"/>
        <v>#REF!</v>
      </c>
      <c r="I50" s="72"/>
    </row>
    <row r="51" spans="1:9">
      <c r="A51" s="33" t="e">
        <f>'【3-2】大区&amp;运营中心填-房间模型价'!#REF!</f>
        <v>#REF!</v>
      </c>
      <c r="B51" s="33" t="e">
        <f>'【3-2】大区&amp;运营中心填-房间模型价'!#REF!</f>
        <v>#REF!</v>
      </c>
      <c r="C51" s="65" t="e">
        <f>VLOOKUP(A51,'【3-2】大区&amp;运营中心填-房间模型价'!H:J,3,0)</f>
        <v>#REF!</v>
      </c>
      <c r="D51" s="13"/>
      <c r="E51" s="13"/>
      <c r="F51" s="13"/>
      <c r="G51" s="13"/>
      <c r="H51" s="13" t="e">
        <f t="shared" si="1"/>
        <v>#REF!</v>
      </c>
      <c r="I51" s="72"/>
    </row>
    <row r="52" spans="1:9">
      <c r="A52" s="33" t="e">
        <f>'【3-2】大区&amp;运营中心填-房间模型价'!#REF!</f>
        <v>#REF!</v>
      </c>
      <c r="B52" s="33" t="e">
        <f>'【3-2】大区&amp;运营中心填-房间模型价'!#REF!</f>
        <v>#REF!</v>
      </c>
      <c r="C52" s="65" t="e">
        <f>VLOOKUP(A52,'【3-2】大区&amp;运营中心填-房间模型价'!H:J,3,0)</f>
        <v>#REF!</v>
      </c>
      <c r="D52" s="13"/>
      <c r="E52" s="13"/>
      <c r="F52" s="13"/>
      <c r="G52" s="13"/>
      <c r="H52" s="13" t="e">
        <f t="shared" si="1"/>
        <v>#REF!</v>
      </c>
      <c r="I52" s="72"/>
    </row>
    <row r="53" spans="1:9">
      <c r="A53" s="33" t="e">
        <f>'【3-2】大区&amp;运营中心填-房间模型价'!#REF!</f>
        <v>#REF!</v>
      </c>
      <c r="B53" s="33" t="e">
        <f>'【3-2】大区&amp;运营中心填-房间模型价'!#REF!</f>
        <v>#REF!</v>
      </c>
      <c r="C53" s="65" t="e">
        <f>VLOOKUP(A53,'【3-2】大区&amp;运营中心填-房间模型价'!H:J,3,0)</f>
        <v>#REF!</v>
      </c>
      <c r="D53" s="13"/>
      <c r="E53" s="13"/>
      <c r="F53" s="13"/>
      <c r="G53" s="13"/>
      <c r="H53" s="13" t="e">
        <f t="shared" si="1"/>
        <v>#REF!</v>
      </c>
      <c r="I53" s="72"/>
    </row>
    <row r="54" spans="1:9">
      <c r="A54" s="33" t="e">
        <f>'【3-2】大区&amp;运营中心填-房间模型价'!#REF!</f>
        <v>#REF!</v>
      </c>
      <c r="B54" s="33" t="e">
        <f>'【3-2】大区&amp;运营中心填-房间模型价'!#REF!</f>
        <v>#REF!</v>
      </c>
      <c r="C54" s="65" t="e">
        <f>VLOOKUP(A54,'【3-2】大区&amp;运营中心填-房间模型价'!H:J,3,0)</f>
        <v>#REF!</v>
      </c>
      <c r="D54" s="13"/>
      <c r="E54" s="13"/>
      <c r="F54" s="13"/>
      <c r="G54" s="13"/>
      <c r="H54" s="13" t="e">
        <f t="shared" si="1"/>
        <v>#REF!</v>
      </c>
      <c r="I54" s="72"/>
    </row>
    <row r="55" spans="1:9">
      <c r="A55" s="33" t="e">
        <f>'【3-2】大区&amp;运营中心填-房间模型价'!#REF!</f>
        <v>#REF!</v>
      </c>
      <c r="B55" s="33" t="e">
        <f>'【3-2】大区&amp;运营中心填-房间模型价'!#REF!</f>
        <v>#REF!</v>
      </c>
      <c r="C55" s="65" t="e">
        <f>VLOOKUP(A55,'【3-2】大区&amp;运营中心填-房间模型价'!H:J,3,0)</f>
        <v>#REF!</v>
      </c>
      <c r="D55" s="13"/>
      <c r="E55" s="13"/>
      <c r="F55" s="13"/>
      <c r="G55" s="13"/>
      <c r="H55" s="13" t="e">
        <f t="shared" si="1"/>
        <v>#REF!</v>
      </c>
      <c r="I55" s="72"/>
    </row>
    <row r="56" spans="1:9">
      <c r="A56" s="33" t="e">
        <f>'【3-2】大区&amp;运营中心填-房间模型价'!#REF!</f>
        <v>#REF!</v>
      </c>
      <c r="B56" s="33" t="e">
        <f>'【3-2】大区&amp;运营中心填-房间模型价'!#REF!</f>
        <v>#REF!</v>
      </c>
      <c r="C56" s="65" t="e">
        <f>VLOOKUP(A56,'【3-2】大区&amp;运营中心填-房间模型价'!H:J,3,0)</f>
        <v>#REF!</v>
      </c>
      <c r="D56" s="13"/>
      <c r="E56" s="13"/>
      <c r="F56" s="13"/>
      <c r="G56" s="13"/>
      <c r="H56" s="13" t="e">
        <f t="shared" si="1"/>
        <v>#REF!</v>
      </c>
      <c r="I56" s="72"/>
    </row>
    <row r="57" spans="1:9">
      <c r="A57" s="33" t="e">
        <f>'【3-2】大区&amp;运营中心填-房间模型价'!#REF!</f>
        <v>#REF!</v>
      </c>
      <c r="B57" s="33" t="e">
        <f>'【3-2】大区&amp;运营中心填-房间模型价'!#REF!</f>
        <v>#REF!</v>
      </c>
      <c r="C57" s="65" t="e">
        <f>VLOOKUP(A57,'【3-2】大区&amp;运营中心填-房间模型价'!H:J,3,0)</f>
        <v>#REF!</v>
      </c>
      <c r="D57" s="13"/>
      <c r="E57" s="13"/>
      <c r="F57" s="13"/>
      <c r="G57" s="13"/>
      <c r="H57" s="13" t="e">
        <f t="shared" si="1"/>
        <v>#REF!</v>
      </c>
      <c r="I57" s="72"/>
    </row>
    <row r="58" spans="1:9">
      <c r="A58" s="33" t="e">
        <f>'【3-2】大区&amp;运营中心填-房间模型价'!#REF!</f>
        <v>#REF!</v>
      </c>
      <c r="B58" s="33" t="e">
        <f>'【3-2】大区&amp;运营中心填-房间模型价'!#REF!</f>
        <v>#REF!</v>
      </c>
      <c r="C58" s="65" t="e">
        <f>VLOOKUP(A58,'【3-2】大区&amp;运营中心填-房间模型价'!H:J,3,0)</f>
        <v>#REF!</v>
      </c>
      <c r="D58" s="13"/>
      <c r="E58" s="13"/>
      <c r="F58" s="13"/>
      <c r="G58" s="13"/>
      <c r="H58" s="13" t="e">
        <f t="shared" si="1"/>
        <v>#REF!</v>
      </c>
      <c r="I58" s="72"/>
    </row>
    <row r="59" spans="1:9">
      <c r="A59" s="33" t="e">
        <f>'【3-2】大区&amp;运营中心填-房间模型价'!#REF!</f>
        <v>#REF!</v>
      </c>
      <c r="B59" s="33" t="e">
        <f>'【3-2】大区&amp;运营中心填-房间模型价'!#REF!</f>
        <v>#REF!</v>
      </c>
      <c r="C59" s="65" t="e">
        <f>VLOOKUP(A59,'【3-2】大区&amp;运营中心填-房间模型价'!H:J,3,0)</f>
        <v>#REF!</v>
      </c>
      <c r="D59" s="13"/>
      <c r="E59" s="13"/>
      <c r="F59" s="13"/>
      <c r="G59" s="13"/>
      <c r="H59" s="13" t="e">
        <f t="shared" si="1"/>
        <v>#REF!</v>
      </c>
      <c r="I59" s="72"/>
    </row>
    <row r="60" spans="1:9">
      <c r="A60" s="33" t="e">
        <f>'【3-2】大区&amp;运营中心填-房间模型价'!#REF!</f>
        <v>#REF!</v>
      </c>
      <c r="B60" s="33" t="e">
        <f>'【3-2】大区&amp;运营中心填-房间模型价'!#REF!</f>
        <v>#REF!</v>
      </c>
      <c r="C60" s="65" t="e">
        <f>VLOOKUP(A60,'【3-2】大区&amp;运营中心填-房间模型价'!H:J,3,0)</f>
        <v>#REF!</v>
      </c>
      <c r="D60" s="13"/>
      <c r="E60" s="13"/>
      <c r="F60" s="13"/>
      <c r="G60" s="13"/>
      <c r="H60" s="13" t="e">
        <f t="shared" si="1"/>
        <v>#REF!</v>
      </c>
      <c r="I60" s="72"/>
    </row>
    <row r="61" spans="1:9">
      <c r="A61" s="33" t="e">
        <f>'【3-2】大区&amp;运营中心填-房间模型价'!#REF!</f>
        <v>#REF!</v>
      </c>
      <c r="B61" s="33" t="e">
        <f>'【3-2】大区&amp;运营中心填-房间模型价'!#REF!</f>
        <v>#REF!</v>
      </c>
      <c r="C61" s="65" t="e">
        <f>VLOOKUP(A61,'【3-2】大区&amp;运营中心填-房间模型价'!H:J,3,0)</f>
        <v>#REF!</v>
      </c>
      <c r="D61" s="13"/>
      <c r="E61" s="13"/>
      <c r="F61" s="13"/>
      <c r="G61" s="13"/>
      <c r="H61" s="13" t="e">
        <f t="shared" si="1"/>
        <v>#REF!</v>
      </c>
      <c r="I61" s="72"/>
    </row>
    <row r="62" spans="1:9">
      <c r="A62" s="33" t="e">
        <f>'【3-2】大区&amp;运营中心填-房间模型价'!#REF!</f>
        <v>#REF!</v>
      </c>
      <c r="B62" s="33" t="e">
        <f>'【3-2】大区&amp;运营中心填-房间模型价'!#REF!</f>
        <v>#REF!</v>
      </c>
      <c r="C62" s="65" t="e">
        <f>VLOOKUP(A62,'【3-2】大区&amp;运营中心填-房间模型价'!H:J,3,0)</f>
        <v>#REF!</v>
      </c>
      <c r="D62" s="13"/>
      <c r="E62" s="13"/>
      <c r="F62" s="13"/>
      <c r="G62" s="13"/>
      <c r="H62" s="13" t="e">
        <f t="shared" si="1"/>
        <v>#REF!</v>
      </c>
      <c r="I62" s="72"/>
    </row>
    <row r="63" spans="1:9">
      <c r="A63" s="33" t="e">
        <f>'【3-2】大区&amp;运营中心填-房间模型价'!#REF!</f>
        <v>#REF!</v>
      </c>
      <c r="B63" s="33" t="e">
        <f>'【3-2】大区&amp;运营中心填-房间模型价'!#REF!</f>
        <v>#REF!</v>
      </c>
      <c r="C63" s="65" t="e">
        <f>VLOOKUP(A63,'【3-2】大区&amp;运营中心填-房间模型价'!H:J,3,0)</f>
        <v>#REF!</v>
      </c>
      <c r="D63" s="13"/>
      <c r="E63" s="13"/>
      <c r="F63" s="13"/>
      <c r="G63" s="13"/>
      <c r="H63" s="13" t="e">
        <f t="shared" si="1"/>
        <v>#REF!</v>
      </c>
      <c r="I63" s="72"/>
    </row>
    <row r="64" spans="1:9">
      <c r="A64" s="33" t="e">
        <f>'【3-2】大区&amp;运营中心填-房间模型价'!#REF!</f>
        <v>#REF!</v>
      </c>
      <c r="B64" s="33" t="e">
        <f>'【3-2】大区&amp;运营中心填-房间模型价'!#REF!</f>
        <v>#REF!</v>
      </c>
      <c r="C64" s="65" t="e">
        <f>VLOOKUP(A64,'【3-2】大区&amp;运营中心填-房间模型价'!H:J,3,0)</f>
        <v>#REF!</v>
      </c>
      <c r="D64" s="13"/>
      <c r="E64" s="13"/>
      <c r="F64" s="13"/>
      <c r="G64" s="13"/>
      <c r="H64" s="13" t="e">
        <f t="shared" si="1"/>
        <v>#REF!</v>
      </c>
      <c r="I64" s="72"/>
    </row>
    <row r="65" spans="1:9">
      <c r="A65" s="33" t="e">
        <f>'【3-2】大区&amp;运营中心填-房间模型价'!#REF!</f>
        <v>#REF!</v>
      </c>
      <c r="B65" s="33" t="e">
        <f>'【3-2】大区&amp;运营中心填-房间模型价'!#REF!</f>
        <v>#REF!</v>
      </c>
      <c r="C65" s="65" t="e">
        <f>VLOOKUP(A65,'【3-2】大区&amp;运营中心填-房间模型价'!H:J,3,0)</f>
        <v>#REF!</v>
      </c>
      <c r="D65" s="13"/>
      <c r="E65" s="13"/>
      <c r="F65" s="13"/>
      <c r="G65" s="13"/>
      <c r="H65" s="13" t="e">
        <f t="shared" si="1"/>
        <v>#REF!</v>
      </c>
      <c r="I65" s="72"/>
    </row>
    <row r="66" spans="1:9">
      <c r="A66" s="33" t="e">
        <f>'【3-2】大区&amp;运营中心填-房间模型价'!#REF!</f>
        <v>#REF!</v>
      </c>
      <c r="B66" s="33" t="e">
        <f>'【3-2】大区&amp;运营中心填-房间模型价'!#REF!</f>
        <v>#REF!</v>
      </c>
      <c r="C66" s="65" t="e">
        <f>VLOOKUP(A66,'【3-2】大区&amp;运营中心填-房间模型价'!H:J,3,0)</f>
        <v>#REF!</v>
      </c>
      <c r="D66" s="13"/>
      <c r="E66" s="13"/>
      <c r="F66" s="13"/>
      <c r="G66" s="13"/>
      <c r="H66" s="13" t="e">
        <f t="shared" si="1"/>
        <v>#REF!</v>
      </c>
      <c r="I66" s="72"/>
    </row>
    <row r="67" spans="1:9">
      <c r="A67" s="33" t="e">
        <f>'【3-2】大区&amp;运营中心填-房间模型价'!#REF!</f>
        <v>#REF!</v>
      </c>
      <c r="B67" s="33" t="e">
        <f>'【3-2】大区&amp;运营中心填-房间模型价'!#REF!</f>
        <v>#REF!</v>
      </c>
      <c r="C67" s="65" t="e">
        <f>VLOOKUP(A67,'【3-2】大区&amp;运营中心填-房间模型价'!H:J,3,0)</f>
        <v>#REF!</v>
      </c>
      <c r="D67" s="13"/>
      <c r="E67" s="13"/>
      <c r="F67" s="13"/>
      <c r="G67" s="13"/>
      <c r="H67" s="13" t="e">
        <f t="shared" si="1"/>
        <v>#REF!</v>
      </c>
      <c r="I67" s="72"/>
    </row>
    <row r="68" spans="1:9">
      <c r="A68" s="33" t="e">
        <f>'【3-2】大区&amp;运营中心填-房间模型价'!#REF!</f>
        <v>#REF!</v>
      </c>
      <c r="B68" s="33" t="e">
        <f>'【3-2】大区&amp;运营中心填-房间模型价'!#REF!</f>
        <v>#REF!</v>
      </c>
      <c r="C68" s="65" t="e">
        <f>VLOOKUP(A68,'【3-2】大区&amp;运营中心填-房间模型价'!H:J,3,0)</f>
        <v>#REF!</v>
      </c>
      <c r="D68" s="13"/>
      <c r="E68" s="13"/>
      <c r="F68" s="13"/>
      <c r="G68" s="13"/>
      <c r="H68" s="13" t="e">
        <f t="shared" si="1"/>
        <v>#REF!</v>
      </c>
      <c r="I68" s="72"/>
    </row>
    <row r="69" spans="1:9">
      <c r="A69" s="33" t="e">
        <f>'【3-2】大区&amp;运营中心填-房间模型价'!#REF!</f>
        <v>#REF!</v>
      </c>
      <c r="B69" s="33" t="e">
        <f>'【3-2】大区&amp;运营中心填-房间模型价'!#REF!</f>
        <v>#REF!</v>
      </c>
      <c r="C69" s="65" t="e">
        <f>VLOOKUP(A69,'【3-2】大区&amp;运营中心填-房间模型价'!H:J,3,0)</f>
        <v>#REF!</v>
      </c>
      <c r="D69" s="13"/>
      <c r="E69" s="13"/>
      <c r="F69" s="13"/>
      <c r="G69" s="13"/>
      <c r="H69" s="13" t="e">
        <f t="shared" si="1"/>
        <v>#REF!</v>
      </c>
      <c r="I69" s="72"/>
    </row>
    <row r="70" spans="1:9">
      <c r="A70" s="33" t="e">
        <f>'【3-2】大区&amp;运营中心填-房间模型价'!#REF!</f>
        <v>#REF!</v>
      </c>
      <c r="B70" s="33" t="e">
        <f>'【3-2】大区&amp;运营中心填-房间模型价'!#REF!</f>
        <v>#REF!</v>
      </c>
      <c r="C70" s="65" t="e">
        <f>VLOOKUP(A70,'【3-2】大区&amp;运营中心填-房间模型价'!H:J,3,0)</f>
        <v>#REF!</v>
      </c>
      <c r="D70" s="13"/>
      <c r="E70" s="13"/>
      <c r="F70" s="13"/>
      <c r="G70" s="13"/>
      <c r="H70" s="13" t="e">
        <f t="shared" si="1"/>
        <v>#REF!</v>
      </c>
      <c r="I70" s="72"/>
    </row>
    <row r="71" spans="1:9">
      <c r="A71" s="33" t="e">
        <f>'【3-2】大区&amp;运营中心填-房间模型价'!#REF!</f>
        <v>#REF!</v>
      </c>
      <c r="B71" s="33" t="e">
        <f>'【3-2】大区&amp;运营中心填-房间模型价'!#REF!</f>
        <v>#REF!</v>
      </c>
      <c r="C71" s="65" t="e">
        <f>VLOOKUP(A71,'【3-2】大区&amp;运营中心填-房间模型价'!H:J,3,0)</f>
        <v>#REF!</v>
      </c>
      <c r="D71" s="13"/>
      <c r="E71" s="13"/>
      <c r="F71" s="13"/>
      <c r="G71" s="13"/>
      <c r="H71" s="13" t="e">
        <f t="shared" ref="H71:H80" si="2">IF(C71="开间",IF(D71+E71*2-G71&lt;=0,"1",IF(D71+E71*2-G71&lt;=1,"2",IF(D71+E71*2-G71&lt;=2,"3",IF(D71+E71*2-G71&lt;=3,"4","5")))),IF(D71+E71*2-G71&lt;1.1,"1",IF(D71+E71*2-G71&lt;=2,"2",IF(D71+E71*2-G71&lt;=3,"3",IF(D71+E71*2-G71&lt;=4,"4","5")))))</f>
        <v>#REF!</v>
      </c>
      <c r="I71" s="72"/>
    </row>
    <row r="72" spans="1:9">
      <c r="A72" s="33" t="e">
        <f>'【3-2】大区&amp;运营中心填-房间模型价'!#REF!</f>
        <v>#REF!</v>
      </c>
      <c r="B72" s="33" t="e">
        <f>'【3-2】大区&amp;运营中心填-房间模型价'!#REF!</f>
        <v>#REF!</v>
      </c>
      <c r="C72" s="65" t="e">
        <f>VLOOKUP(A72,'【3-2】大区&amp;运营中心填-房间模型价'!H:J,3,0)</f>
        <v>#REF!</v>
      </c>
      <c r="D72" s="13"/>
      <c r="E72" s="13"/>
      <c r="F72" s="13"/>
      <c r="G72" s="13"/>
      <c r="H72" s="13" t="e">
        <f t="shared" si="2"/>
        <v>#REF!</v>
      </c>
      <c r="I72" s="72"/>
    </row>
    <row r="73" spans="1:9">
      <c r="A73" s="33" t="e">
        <f>'【3-2】大区&amp;运营中心填-房间模型价'!#REF!</f>
        <v>#REF!</v>
      </c>
      <c r="B73" s="33" t="e">
        <f>'【3-2】大区&amp;运营中心填-房间模型价'!#REF!</f>
        <v>#REF!</v>
      </c>
      <c r="C73" s="65" t="e">
        <f>VLOOKUP(A73,'【3-2】大区&amp;运营中心填-房间模型价'!H:J,3,0)</f>
        <v>#REF!</v>
      </c>
      <c r="D73" s="13"/>
      <c r="E73" s="13"/>
      <c r="F73" s="13"/>
      <c r="G73" s="13"/>
      <c r="H73" s="13" t="e">
        <f t="shared" si="2"/>
        <v>#REF!</v>
      </c>
      <c r="I73" s="72"/>
    </row>
    <row r="74" spans="1:9">
      <c r="A74" s="33" t="e">
        <f>'【3-2】大区&amp;运营中心填-房间模型价'!#REF!</f>
        <v>#REF!</v>
      </c>
      <c r="B74" s="33" t="e">
        <f>'【3-2】大区&amp;运营中心填-房间模型价'!#REF!</f>
        <v>#REF!</v>
      </c>
      <c r="C74" s="65" t="e">
        <f>VLOOKUP(A74,'【3-2】大区&amp;运营中心填-房间模型价'!H:J,3,0)</f>
        <v>#REF!</v>
      </c>
      <c r="D74" s="13"/>
      <c r="E74" s="13"/>
      <c r="F74" s="13"/>
      <c r="G74" s="13"/>
      <c r="H74" s="13" t="e">
        <f t="shared" si="2"/>
        <v>#REF!</v>
      </c>
      <c r="I74" s="72"/>
    </row>
    <row r="75" spans="1:9">
      <c r="A75" s="33" t="e">
        <f>'【3-2】大区&amp;运营中心填-房间模型价'!#REF!</f>
        <v>#REF!</v>
      </c>
      <c r="B75" s="33" t="e">
        <f>'【3-2】大区&amp;运营中心填-房间模型价'!#REF!</f>
        <v>#REF!</v>
      </c>
      <c r="C75" s="65" t="e">
        <f>VLOOKUP(A75,'【3-2】大区&amp;运营中心填-房间模型价'!H:J,3,0)</f>
        <v>#REF!</v>
      </c>
      <c r="D75" s="13"/>
      <c r="E75" s="13"/>
      <c r="F75" s="13"/>
      <c r="G75" s="13"/>
      <c r="H75" s="13" t="e">
        <f t="shared" si="2"/>
        <v>#REF!</v>
      </c>
      <c r="I75" s="72"/>
    </row>
    <row r="76" spans="1:9">
      <c r="A76" s="33" t="e">
        <f>'【3-2】大区&amp;运营中心填-房间模型价'!#REF!</f>
        <v>#REF!</v>
      </c>
      <c r="B76" s="33" t="e">
        <f>'【3-2】大区&amp;运营中心填-房间模型价'!#REF!</f>
        <v>#REF!</v>
      </c>
      <c r="C76" s="65" t="e">
        <f>VLOOKUP(A76,'【3-2】大区&amp;运营中心填-房间模型价'!H:J,3,0)</f>
        <v>#REF!</v>
      </c>
      <c r="D76" s="13"/>
      <c r="E76" s="13"/>
      <c r="F76" s="13"/>
      <c r="G76" s="13"/>
      <c r="H76" s="13" t="e">
        <f t="shared" si="2"/>
        <v>#REF!</v>
      </c>
      <c r="I76" s="72"/>
    </row>
    <row r="77" spans="1:9">
      <c r="A77" s="33" t="e">
        <f>'【3-2】大区&amp;运营中心填-房间模型价'!#REF!</f>
        <v>#REF!</v>
      </c>
      <c r="B77" s="33" t="e">
        <f>'【3-2】大区&amp;运营中心填-房间模型价'!#REF!</f>
        <v>#REF!</v>
      </c>
      <c r="C77" s="65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2"/>
        <v>#REF!</v>
      </c>
      <c r="I77" s="72"/>
    </row>
    <row r="78" spans="1:9">
      <c r="A78" s="33" t="e">
        <f>'【3-2】大区&amp;运营中心填-房间模型价'!#REF!</f>
        <v>#REF!</v>
      </c>
      <c r="B78" s="33" t="e">
        <f>'【3-2】大区&amp;运营中心填-房间模型价'!#REF!</f>
        <v>#REF!</v>
      </c>
      <c r="C78" s="65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2"/>
        <v>#REF!</v>
      </c>
      <c r="I78" s="72"/>
    </row>
    <row r="79" spans="1:9">
      <c r="A79" s="33" t="e">
        <f>'【3-2】大区&amp;运营中心填-房间模型价'!#REF!</f>
        <v>#REF!</v>
      </c>
      <c r="B79" s="33" t="e">
        <f>'【3-2】大区&amp;运营中心填-房间模型价'!#REF!</f>
        <v>#REF!</v>
      </c>
      <c r="C79" s="65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2"/>
        <v>#REF!</v>
      </c>
      <c r="I79" s="72"/>
    </row>
    <row r="80" spans="1:9">
      <c r="A80" s="33" t="e">
        <f>'【3-2】大区&amp;运营中心填-房间模型价'!#REF!</f>
        <v>#REF!</v>
      </c>
      <c r="B80" s="33" t="e">
        <f>'【3-2】大区&amp;运营中心填-房间模型价'!#REF!</f>
        <v>#REF!</v>
      </c>
      <c r="C80" s="65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2"/>
        <v>#REF!</v>
      </c>
      <c r="I80" s="72"/>
    </row>
    <row r="81" spans="1:9">
      <c r="A81" s="33" t="e">
        <f>'【3-2】大区&amp;运营中心填-房间模型价'!#REF!</f>
        <v>#REF!</v>
      </c>
      <c r="B81" s="33" t="e">
        <f>'【3-2】大区&amp;运营中心填-房间模型价'!#REF!</f>
        <v>#REF!</v>
      </c>
      <c r="C81" s="65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ref="H81:H144" si="3">IF(C81="开间",IF(D81+E81*2-G81&lt;=0,"1",IF(D81+E81*2-G81&lt;=1,"2",IF(D81+E81*2-G81&lt;=2,"3",IF(D81+E81*2-G81&lt;=3,"4","5")))),IF(D81+E81*2-G81&lt;1.1,"1",IF(D81+E81*2-G81&lt;=2,"2",IF(D81+E81*2-G81&lt;=3,"3",IF(D81+E81*2-G81&lt;=4,"4","5")))))</f>
        <v>#REF!</v>
      </c>
      <c r="I81" s="72"/>
    </row>
    <row r="82" spans="1:9">
      <c r="A82" s="33" t="e">
        <f>'【3-2】大区&amp;运营中心填-房间模型价'!#REF!</f>
        <v>#REF!</v>
      </c>
      <c r="B82" s="33" t="e">
        <f>'【3-2】大区&amp;运营中心填-房间模型价'!#REF!</f>
        <v>#REF!</v>
      </c>
      <c r="C82" s="65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3"/>
        <v>#REF!</v>
      </c>
      <c r="I82" s="72"/>
    </row>
    <row r="83" spans="1:9">
      <c r="A83" s="33" t="e">
        <f>'【3-2】大区&amp;运营中心填-房间模型价'!#REF!</f>
        <v>#REF!</v>
      </c>
      <c r="B83" s="33" t="e">
        <f>'【3-2】大区&amp;运营中心填-房间模型价'!#REF!</f>
        <v>#REF!</v>
      </c>
      <c r="C83" s="65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3"/>
        <v>#REF!</v>
      </c>
      <c r="I83" s="72"/>
    </row>
    <row r="84" spans="1:9">
      <c r="A84" s="33" t="e">
        <f>'【3-2】大区&amp;运营中心填-房间模型价'!#REF!</f>
        <v>#REF!</v>
      </c>
      <c r="B84" s="33" t="e">
        <f>'【3-2】大区&amp;运营中心填-房间模型价'!#REF!</f>
        <v>#REF!</v>
      </c>
      <c r="C84" s="65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3"/>
        <v>#REF!</v>
      </c>
      <c r="I84" s="72"/>
    </row>
    <row r="85" spans="1:9">
      <c r="A85" s="33" t="e">
        <f>'【3-2】大区&amp;运营中心填-房间模型价'!#REF!</f>
        <v>#REF!</v>
      </c>
      <c r="B85" s="33" t="e">
        <f>'【3-2】大区&amp;运营中心填-房间模型价'!#REF!</f>
        <v>#REF!</v>
      </c>
      <c r="C85" s="65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3"/>
        <v>#REF!</v>
      </c>
      <c r="I85" s="72"/>
    </row>
    <row r="86" spans="1:9">
      <c r="A86" s="33" t="e">
        <f>'【3-2】大区&amp;运营中心填-房间模型价'!#REF!</f>
        <v>#REF!</v>
      </c>
      <c r="B86" s="33" t="e">
        <f>'【3-2】大区&amp;运营中心填-房间模型价'!#REF!</f>
        <v>#REF!</v>
      </c>
      <c r="C86" s="65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3"/>
        <v>#REF!</v>
      </c>
      <c r="I86" s="72"/>
    </row>
    <row r="87" spans="1:9">
      <c r="A87" s="33" t="e">
        <f>'【3-2】大区&amp;运营中心填-房间模型价'!#REF!</f>
        <v>#REF!</v>
      </c>
      <c r="B87" s="33" t="e">
        <f>'【3-2】大区&amp;运营中心填-房间模型价'!#REF!</f>
        <v>#REF!</v>
      </c>
      <c r="C87" s="65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3"/>
        <v>#REF!</v>
      </c>
      <c r="I87" s="72"/>
    </row>
    <row r="88" spans="1:9">
      <c r="A88" s="33" t="e">
        <f>'【3-2】大区&amp;运营中心填-房间模型价'!#REF!</f>
        <v>#REF!</v>
      </c>
      <c r="B88" s="33" t="e">
        <f>'【3-2】大区&amp;运营中心填-房间模型价'!#REF!</f>
        <v>#REF!</v>
      </c>
      <c r="C88" s="65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3"/>
        <v>#REF!</v>
      </c>
      <c r="I88" s="72"/>
    </row>
    <row r="89" spans="1:9">
      <c r="A89" s="33" t="e">
        <f>'【3-2】大区&amp;运营中心填-房间模型价'!#REF!</f>
        <v>#REF!</v>
      </c>
      <c r="B89" s="33" t="e">
        <f>'【3-2】大区&amp;运营中心填-房间模型价'!#REF!</f>
        <v>#REF!</v>
      </c>
      <c r="C89" s="65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3"/>
        <v>#REF!</v>
      </c>
      <c r="I89" s="72"/>
    </row>
    <row r="90" spans="1:9">
      <c r="A90" s="33" t="e">
        <f>'【3-2】大区&amp;运营中心填-房间模型价'!#REF!</f>
        <v>#REF!</v>
      </c>
      <c r="B90" s="33" t="e">
        <f>'【3-2】大区&amp;运营中心填-房间模型价'!#REF!</f>
        <v>#REF!</v>
      </c>
      <c r="C90" s="65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3"/>
        <v>#REF!</v>
      </c>
      <c r="I90" s="72"/>
    </row>
    <row r="91" spans="1:9">
      <c r="A91" s="33" t="e">
        <f>'【3-2】大区&amp;运营中心填-房间模型价'!#REF!</f>
        <v>#REF!</v>
      </c>
      <c r="B91" s="33" t="e">
        <f>'【3-2】大区&amp;运营中心填-房间模型价'!#REF!</f>
        <v>#REF!</v>
      </c>
      <c r="C91" s="65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3"/>
        <v>#REF!</v>
      </c>
      <c r="I91" s="72"/>
    </row>
    <row r="92" spans="1:9">
      <c r="A92" s="33" t="e">
        <f>'【3-2】大区&amp;运营中心填-房间模型价'!#REF!</f>
        <v>#REF!</v>
      </c>
      <c r="B92" s="33" t="e">
        <f>'【3-2】大区&amp;运营中心填-房间模型价'!#REF!</f>
        <v>#REF!</v>
      </c>
      <c r="C92" s="65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3"/>
        <v>#REF!</v>
      </c>
      <c r="I92" s="72"/>
    </row>
    <row r="93" spans="1:9">
      <c r="A93" s="33" t="e">
        <f>'【3-2】大区&amp;运营中心填-房间模型价'!#REF!</f>
        <v>#REF!</v>
      </c>
      <c r="B93" s="33" t="e">
        <f>'【3-2】大区&amp;运营中心填-房间模型价'!#REF!</f>
        <v>#REF!</v>
      </c>
      <c r="C93" s="65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3"/>
        <v>#REF!</v>
      </c>
      <c r="I93" s="72"/>
    </row>
    <row r="94" spans="1:9">
      <c r="A94" s="33" t="e">
        <f>'【3-2】大区&amp;运营中心填-房间模型价'!#REF!</f>
        <v>#REF!</v>
      </c>
      <c r="B94" s="33" t="e">
        <f>'【3-2】大区&amp;运营中心填-房间模型价'!#REF!</f>
        <v>#REF!</v>
      </c>
      <c r="C94" s="65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3"/>
        <v>#REF!</v>
      </c>
      <c r="I94" s="72"/>
    </row>
    <row r="95" spans="1:9">
      <c r="A95" s="33" t="e">
        <f>'【3-2】大区&amp;运营中心填-房间模型价'!#REF!</f>
        <v>#REF!</v>
      </c>
      <c r="B95" s="33" t="e">
        <f>'【3-2】大区&amp;运营中心填-房间模型价'!#REF!</f>
        <v>#REF!</v>
      </c>
      <c r="C95" s="65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3"/>
        <v>#REF!</v>
      </c>
      <c r="I95" s="72"/>
    </row>
    <row r="96" spans="1:9">
      <c r="A96" s="33" t="e">
        <f>'【3-2】大区&amp;运营中心填-房间模型价'!#REF!</f>
        <v>#REF!</v>
      </c>
      <c r="B96" s="33" t="e">
        <f>'【3-2】大区&amp;运营中心填-房间模型价'!#REF!</f>
        <v>#REF!</v>
      </c>
      <c r="C96" s="65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3"/>
        <v>#REF!</v>
      </c>
      <c r="I96" s="72"/>
    </row>
    <row r="97" spans="1:9">
      <c r="A97" s="33" t="e">
        <f>'【3-2】大区&amp;运营中心填-房间模型价'!#REF!</f>
        <v>#REF!</v>
      </c>
      <c r="B97" s="33" t="e">
        <f>'【3-2】大区&amp;运营中心填-房间模型价'!#REF!</f>
        <v>#REF!</v>
      </c>
      <c r="C97" s="65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3"/>
        <v>#REF!</v>
      </c>
      <c r="I97" s="72"/>
    </row>
    <row r="98" spans="1:9">
      <c r="A98" s="33" t="e">
        <f>'【3-2】大区&amp;运营中心填-房间模型价'!#REF!</f>
        <v>#REF!</v>
      </c>
      <c r="B98" s="33" t="e">
        <f>'【3-2】大区&amp;运营中心填-房间模型价'!#REF!</f>
        <v>#REF!</v>
      </c>
      <c r="C98" s="65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3"/>
        <v>#REF!</v>
      </c>
      <c r="I98" s="72"/>
    </row>
    <row r="99" spans="1:9">
      <c r="A99" s="33" t="e">
        <f>'【3-2】大区&amp;运营中心填-房间模型价'!#REF!</f>
        <v>#REF!</v>
      </c>
      <c r="B99" s="33" t="e">
        <f>'【3-2】大区&amp;运营中心填-房间模型价'!#REF!</f>
        <v>#REF!</v>
      </c>
      <c r="C99" s="65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3"/>
        <v>#REF!</v>
      </c>
      <c r="I99" s="72"/>
    </row>
    <row r="100" spans="1:9">
      <c r="A100" s="33" t="e">
        <f>'【3-2】大区&amp;运营中心填-房间模型价'!#REF!</f>
        <v>#REF!</v>
      </c>
      <c r="B100" s="33" t="e">
        <f>'【3-2】大区&amp;运营中心填-房间模型价'!#REF!</f>
        <v>#REF!</v>
      </c>
      <c r="C100" s="65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3"/>
        <v>#REF!</v>
      </c>
      <c r="I100" s="72"/>
    </row>
    <row r="101" spans="1:9">
      <c r="A101" s="33" t="e">
        <f>'【3-2】大区&amp;运营中心填-房间模型价'!#REF!</f>
        <v>#REF!</v>
      </c>
      <c r="B101" s="33" t="e">
        <f>'【3-2】大区&amp;运营中心填-房间模型价'!#REF!</f>
        <v>#REF!</v>
      </c>
      <c r="C101" s="65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3"/>
        <v>#REF!</v>
      </c>
      <c r="I101" s="72"/>
    </row>
    <row r="102" spans="1:9">
      <c r="A102" s="33" t="e">
        <f>'【3-2】大区&amp;运营中心填-房间模型价'!#REF!</f>
        <v>#REF!</v>
      </c>
      <c r="B102" s="33" t="e">
        <f>'【3-2】大区&amp;运营中心填-房间模型价'!#REF!</f>
        <v>#REF!</v>
      </c>
      <c r="C102" s="65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3"/>
        <v>#REF!</v>
      </c>
      <c r="I102" s="72"/>
    </row>
    <row r="103" spans="1:9">
      <c r="A103" s="33" t="e">
        <f>'【3-2】大区&amp;运营中心填-房间模型价'!#REF!</f>
        <v>#REF!</v>
      </c>
      <c r="B103" s="33" t="e">
        <f>'【3-2】大区&amp;运营中心填-房间模型价'!#REF!</f>
        <v>#REF!</v>
      </c>
      <c r="C103" s="65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3"/>
        <v>#REF!</v>
      </c>
      <c r="I103" s="72"/>
    </row>
    <row r="104" spans="1:9">
      <c r="A104" s="33" t="e">
        <f>'【3-2】大区&amp;运营中心填-房间模型价'!#REF!</f>
        <v>#REF!</v>
      </c>
      <c r="B104" s="33" t="e">
        <f>'【3-2】大区&amp;运营中心填-房间模型价'!#REF!</f>
        <v>#REF!</v>
      </c>
      <c r="C104" s="65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3"/>
        <v>#REF!</v>
      </c>
      <c r="I104" s="72"/>
    </row>
    <row r="105" spans="1:9">
      <c r="A105" s="33" t="e">
        <f>'【3-2】大区&amp;运营中心填-房间模型价'!#REF!</f>
        <v>#REF!</v>
      </c>
      <c r="B105" s="33" t="e">
        <f>'【3-2】大区&amp;运营中心填-房间模型价'!#REF!</f>
        <v>#REF!</v>
      </c>
      <c r="C105" s="65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3"/>
        <v>#REF!</v>
      </c>
      <c r="I105" s="72"/>
    </row>
    <row r="106" spans="1:9">
      <c r="A106" s="33" t="e">
        <f>'【3-2】大区&amp;运营中心填-房间模型价'!#REF!</f>
        <v>#REF!</v>
      </c>
      <c r="B106" s="33" t="e">
        <f>'【3-2】大区&amp;运营中心填-房间模型价'!#REF!</f>
        <v>#REF!</v>
      </c>
      <c r="C106" s="65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3"/>
        <v>#REF!</v>
      </c>
      <c r="I106" s="72"/>
    </row>
    <row r="107" spans="1:9">
      <c r="A107" s="33" t="e">
        <f>'【3-2】大区&amp;运营中心填-房间模型价'!#REF!</f>
        <v>#REF!</v>
      </c>
      <c r="B107" s="33" t="e">
        <f>'【3-2】大区&amp;运营中心填-房间模型价'!#REF!</f>
        <v>#REF!</v>
      </c>
      <c r="C107" s="65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3"/>
        <v>#REF!</v>
      </c>
      <c r="I107" s="72"/>
    </row>
    <row r="108" spans="1:9">
      <c r="A108" s="33" t="e">
        <f>'【3-2】大区&amp;运营中心填-房间模型价'!#REF!</f>
        <v>#REF!</v>
      </c>
      <c r="B108" s="33" t="e">
        <f>'【3-2】大区&amp;运营中心填-房间模型价'!#REF!</f>
        <v>#REF!</v>
      </c>
      <c r="C108" s="65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3"/>
        <v>#REF!</v>
      </c>
      <c r="I108" s="72"/>
    </row>
    <row r="109" spans="1:9">
      <c r="A109" s="33" t="e">
        <f>'【3-2】大区&amp;运营中心填-房间模型价'!#REF!</f>
        <v>#REF!</v>
      </c>
      <c r="B109" s="33" t="e">
        <f>'【3-2】大区&amp;运营中心填-房间模型价'!#REF!</f>
        <v>#REF!</v>
      </c>
      <c r="C109" s="65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3"/>
        <v>#REF!</v>
      </c>
      <c r="I109" s="72"/>
    </row>
    <row r="110" spans="1:9">
      <c r="A110" s="33" t="e">
        <f>'【3-2】大区&amp;运营中心填-房间模型价'!#REF!</f>
        <v>#REF!</v>
      </c>
      <c r="B110" s="33" t="e">
        <f>'【3-2】大区&amp;运营中心填-房间模型价'!#REF!</f>
        <v>#REF!</v>
      </c>
      <c r="C110" s="65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3"/>
        <v>#REF!</v>
      </c>
      <c r="I110" s="72"/>
    </row>
    <row r="111" spans="1:9">
      <c r="A111" s="33" t="e">
        <f>'【3-2】大区&amp;运营中心填-房间模型价'!#REF!</f>
        <v>#REF!</v>
      </c>
      <c r="B111" s="33" t="e">
        <f>'【3-2】大区&amp;运营中心填-房间模型价'!#REF!</f>
        <v>#REF!</v>
      </c>
      <c r="C111" s="65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3"/>
        <v>#REF!</v>
      </c>
      <c r="I111" s="72"/>
    </row>
    <row r="112" spans="1:9">
      <c r="A112" s="33" t="e">
        <f>'【3-2】大区&amp;运营中心填-房间模型价'!#REF!</f>
        <v>#REF!</v>
      </c>
      <c r="B112" s="33" t="e">
        <f>'【3-2】大区&amp;运营中心填-房间模型价'!#REF!</f>
        <v>#REF!</v>
      </c>
      <c r="C112" s="65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3"/>
        <v>#REF!</v>
      </c>
      <c r="I112" s="72"/>
    </row>
    <row r="113" spans="1:9">
      <c r="A113" s="33" t="e">
        <f>'【3-2】大区&amp;运营中心填-房间模型价'!#REF!</f>
        <v>#REF!</v>
      </c>
      <c r="B113" s="33" t="e">
        <f>'【3-2】大区&amp;运营中心填-房间模型价'!#REF!</f>
        <v>#REF!</v>
      </c>
      <c r="C113" s="65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si="3"/>
        <v>#REF!</v>
      </c>
      <c r="I113" s="72"/>
    </row>
    <row r="114" spans="1:9">
      <c r="A114" s="33" t="e">
        <f>'【3-2】大区&amp;运营中心填-房间模型价'!#REF!</f>
        <v>#REF!</v>
      </c>
      <c r="B114" s="33" t="e">
        <f>'【3-2】大区&amp;运营中心填-房间模型价'!#REF!</f>
        <v>#REF!</v>
      </c>
      <c r="C114" s="65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3"/>
        <v>#REF!</v>
      </c>
      <c r="I114" s="72"/>
    </row>
    <row r="115" spans="1:9">
      <c r="A115" s="33" t="e">
        <f>'【3-2】大区&amp;运营中心填-房间模型价'!#REF!</f>
        <v>#REF!</v>
      </c>
      <c r="B115" s="33" t="e">
        <f>'【3-2】大区&amp;运营中心填-房间模型价'!#REF!</f>
        <v>#REF!</v>
      </c>
      <c r="C115" s="65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3"/>
        <v>#REF!</v>
      </c>
      <c r="I115" s="72"/>
    </row>
    <row r="116" spans="1:9">
      <c r="A116" s="33" t="e">
        <f>'【3-2】大区&amp;运营中心填-房间模型价'!#REF!</f>
        <v>#REF!</v>
      </c>
      <c r="B116" s="33" t="e">
        <f>'【3-2】大区&amp;运营中心填-房间模型价'!#REF!</f>
        <v>#REF!</v>
      </c>
      <c r="C116" s="65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3"/>
        <v>#REF!</v>
      </c>
      <c r="I116" s="72"/>
    </row>
    <row r="117" spans="1:9">
      <c r="A117" s="33" t="e">
        <f>'【3-2】大区&amp;运营中心填-房间模型价'!#REF!</f>
        <v>#REF!</v>
      </c>
      <c r="B117" s="33" t="e">
        <f>'【3-2】大区&amp;运营中心填-房间模型价'!#REF!</f>
        <v>#REF!</v>
      </c>
      <c r="C117" s="65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3"/>
        <v>#REF!</v>
      </c>
      <c r="I117" s="72"/>
    </row>
    <row r="118" spans="1:9">
      <c r="A118" s="33" t="e">
        <f>'【3-2】大区&amp;运营中心填-房间模型价'!#REF!</f>
        <v>#REF!</v>
      </c>
      <c r="B118" s="33" t="e">
        <f>'【3-2】大区&amp;运营中心填-房间模型价'!#REF!</f>
        <v>#REF!</v>
      </c>
      <c r="C118" s="65" t="e">
        <f>VLOOKUP(A118,'【3-2】大区&amp;运营中心填-房间模型价'!H:J,3,0)</f>
        <v>#REF!</v>
      </c>
      <c r="D118" s="13"/>
      <c r="E118" s="13"/>
      <c r="F118" s="13"/>
      <c r="G118" s="13"/>
      <c r="H118" s="13" t="e">
        <f t="shared" si="3"/>
        <v>#REF!</v>
      </c>
      <c r="I118" s="72"/>
    </row>
    <row r="119" spans="1:9">
      <c r="A119" s="33" t="e">
        <f>'【3-2】大区&amp;运营中心填-房间模型价'!#REF!</f>
        <v>#REF!</v>
      </c>
      <c r="B119" s="33" t="e">
        <f>'【3-2】大区&amp;运营中心填-房间模型价'!#REF!</f>
        <v>#REF!</v>
      </c>
      <c r="C119" s="65" t="e">
        <f>VLOOKUP(A119,'【3-2】大区&amp;运营中心填-房间模型价'!H:J,3,0)</f>
        <v>#REF!</v>
      </c>
      <c r="D119" s="13"/>
      <c r="E119" s="13"/>
      <c r="F119" s="13"/>
      <c r="G119" s="13"/>
      <c r="H119" s="13" t="e">
        <f t="shared" si="3"/>
        <v>#REF!</v>
      </c>
      <c r="I119" s="72"/>
    </row>
    <row r="120" spans="1:9">
      <c r="A120" s="33" t="e">
        <f>'【3-2】大区&amp;运营中心填-房间模型价'!#REF!</f>
        <v>#REF!</v>
      </c>
      <c r="B120" s="33" t="e">
        <f>'【3-2】大区&amp;运营中心填-房间模型价'!#REF!</f>
        <v>#REF!</v>
      </c>
      <c r="C120" s="65" t="e">
        <f>VLOOKUP(A120,'【3-2】大区&amp;运营中心填-房间模型价'!H:J,3,0)</f>
        <v>#REF!</v>
      </c>
      <c r="D120" s="13"/>
      <c r="E120" s="13"/>
      <c r="F120" s="13"/>
      <c r="G120" s="13"/>
      <c r="H120" s="13" t="e">
        <f t="shared" si="3"/>
        <v>#REF!</v>
      </c>
      <c r="I120" s="72"/>
    </row>
    <row r="121" spans="1:9">
      <c r="A121" s="33" t="e">
        <f>'【3-2】大区&amp;运营中心填-房间模型价'!#REF!</f>
        <v>#REF!</v>
      </c>
      <c r="B121" s="33" t="e">
        <f>'【3-2】大区&amp;运营中心填-房间模型价'!#REF!</f>
        <v>#REF!</v>
      </c>
      <c r="C121" s="65" t="e">
        <f>VLOOKUP(A121,'【3-2】大区&amp;运营中心填-房间模型价'!H:J,3,0)</f>
        <v>#REF!</v>
      </c>
      <c r="D121" s="13"/>
      <c r="E121" s="13"/>
      <c r="F121" s="13"/>
      <c r="G121" s="13"/>
      <c r="H121" s="13" t="e">
        <f t="shared" si="3"/>
        <v>#REF!</v>
      </c>
      <c r="I121" s="72"/>
    </row>
    <row r="122" spans="1:9">
      <c r="A122" s="33" t="e">
        <f>'【3-2】大区&amp;运营中心填-房间模型价'!#REF!</f>
        <v>#REF!</v>
      </c>
      <c r="B122" s="33" t="e">
        <f>'【3-2】大区&amp;运营中心填-房间模型价'!#REF!</f>
        <v>#REF!</v>
      </c>
      <c r="C122" s="65" t="e">
        <f>VLOOKUP(A122,'【3-2】大区&amp;运营中心填-房间模型价'!H:J,3,0)</f>
        <v>#REF!</v>
      </c>
      <c r="D122" s="13"/>
      <c r="E122" s="13"/>
      <c r="F122" s="13"/>
      <c r="G122" s="13"/>
      <c r="H122" s="13" t="e">
        <f t="shared" si="3"/>
        <v>#REF!</v>
      </c>
      <c r="I122" s="72"/>
    </row>
    <row r="123" spans="1:9">
      <c r="A123" s="33" t="e">
        <f>'【3-2】大区&amp;运营中心填-房间模型价'!#REF!</f>
        <v>#REF!</v>
      </c>
      <c r="B123" s="33" t="e">
        <f>'【3-2】大区&amp;运营中心填-房间模型价'!#REF!</f>
        <v>#REF!</v>
      </c>
      <c r="C123" s="65" t="e">
        <f>VLOOKUP(A123,'【3-2】大区&amp;运营中心填-房间模型价'!H:J,3,0)</f>
        <v>#REF!</v>
      </c>
      <c r="D123" s="13"/>
      <c r="E123" s="13"/>
      <c r="F123" s="13"/>
      <c r="G123" s="13"/>
      <c r="H123" s="13" t="e">
        <f t="shared" si="3"/>
        <v>#REF!</v>
      </c>
      <c r="I123" s="72"/>
    </row>
    <row r="124" spans="1:9">
      <c r="A124" s="33" t="e">
        <f>'【3-2】大区&amp;运营中心填-房间模型价'!#REF!</f>
        <v>#REF!</v>
      </c>
      <c r="B124" s="33" t="e">
        <f>'【3-2】大区&amp;运营中心填-房间模型价'!#REF!</f>
        <v>#REF!</v>
      </c>
      <c r="C124" s="65" t="e">
        <f>VLOOKUP(A124,'【3-2】大区&amp;运营中心填-房间模型价'!H:J,3,0)</f>
        <v>#REF!</v>
      </c>
      <c r="D124" s="13"/>
      <c r="E124" s="13"/>
      <c r="F124" s="13"/>
      <c r="G124" s="13"/>
      <c r="H124" s="13" t="e">
        <f t="shared" si="3"/>
        <v>#REF!</v>
      </c>
      <c r="I124" s="72"/>
    </row>
    <row r="125" spans="1:9">
      <c r="A125" s="33" t="e">
        <f>'【3-2】大区&amp;运营中心填-房间模型价'!#REF!</f>
        <v>#REF!</v>
      </c>
      <c r="B125" s="33" t="e">
        <f>'【3-2】大区&amp;运营中心填-房间模型价'!#REF!</f>
        <v>#REF!</v>
      </c>
      <c r="C125" s="65" t="e">
        <f>VLOOKUP(A125,'【3-2】大区&amp;运营中心填-房间模型价'!H:J,3,0)</f>
        <v>#REF!</v>
      </c>
      <c r="D125" s="13"/>
      <c r="E125" s="13"/>
      <c r="F125" s="13"/>
      <c r="G125" s="13"/>
      <c r="H125" s="13" t="e">
        <f t="shared" si="3"/>
        <v>#REF!</v>
      </c>
      <c r="I125" s="72"/>
    </row>
    <row r="126" spans="1:9">
      <c r="A126" s="33" t="e">
        <f>'【3-2】大区&amp;运营中心填-房间模型价'!#REF!</f>
        <v>#REF!</v>
      </c>
      <c r="B126" s="33" t="e">
        <f>'【3-2】大区&amp;运营中心填-房间模型价'!#REF!</f>
        <v>#REF!</v>
      </c>
      <c r="C126" s="65" t="e">
        <f>VLOOKUP(A126,'【3-2】大区&amp;运营中心填-房间模型价'!H:J,3,0)</f>
        <v>#REF!</v>
      </c>
      <c r="D126" s="13"/>
      <c r="E126" s="13"/>
      <c r="F126" s="13"/>
      <c r="G126" s="13"/>
      <c r="H126" s="13" t="e">
        <f t="shared" si="3"/>
        <v>#REF!</v>
      </c>
      <c r="I126" s="72"/>
    </row>
    <row r="127" spans="1:9">
      <c r="A127" s="33" t="e">
        <f>'【3-2】大区&amp;运营中心填-房间模型价'!#REF!</f>
        <v>#REF!</v>
      </c>
      <c r="B127" s="33" t="e">
        <f>'【3-2】大区&amp;运营中心填-房间模型价'!#REF!</f>
        <v>#REF!</v>
      </c>
      <c r="C127" s="65" t="e">
        <f>VLOOKUP(A127,'【3-2】大区&amp;运营中心填-房间模型价'!H:J,3,0)</f>
        <v>#REF!</v>
      </c>
      <c r="D127" s="13"/>
      <c r="E127" s="13"/>
      <c r="F127" s="13"/>
      <c r="G127" s="13"/>
      <c r="H127" s="13" t="e">
        <f t="shared" si="3"/>
        <v>#REF!</v>
      </c>
      <c r="I127" s="72"/>
    </row>
    <row r="128" spans="1:9">
      <c r="A128" s="33" t="e">
        <f>'【3-2】大区&amp;运营中心填-房间模型价'!#REF!</f>
        <v>#REF!</v>
      </c>
      <c r="B128" s="33" t="e">
        <f>'【3-2】大区&amp;运营中心填-房间模型价'!#REF!</f>
        <v>#REF!</v>
      </c>
      <c r="C128" s="65" t="e">
        <f>VLOOKUP(A128,'【3-2】大区&amp;运营中心填-房间模型价'!H:J,3,0)</f>
        <v>#REF!</v>
      </c>
      <c r="D128" s="13"/>
      <c r="E128" s="13"/>
      <c r="F128" s="13"/>
      <c r="G128" s="13"/>
      <c r="H128" s="13" t="e">
        <f t="shared" si="3"/>
        <v>#REF!</v>
      </c>
      <c r="I128" s="72"/>
    </row>
    <row r="129" spans="1:9">
      <c r="A129" s="33" t="e">
        <f>'【3-2】大区&amp;运营中心填-房间模型价'!#REF!</f>
        <v>#REF!</v>
      </c>
      <c r="B129" s="33" t="e">
        <f>'【3-2】大区&amp;运营中心填-房间模型价'!#REF!</f>
        <v>#REF!</v>
      </c>
      <c r="C129" s="65" t="e">
        <f>VLOOKUP(A129,'【3-2】大区&amp;运营中心填-房间模型价'!H:J,3,0)</f>
        <v>#REF!</v>
      </c>
      <c r="D129" s="13"/>
      <c r="E129" s="13"/>
      <c r="F129" s="13"/>
      <c r="G129" s="13"/>
      <c r="H129" s="13" t="e">
        <f t="shared" si="3"/>
        <v>#REF!</v>
      </c>
      <c r="I129" s="72"/>
    </row>
    <row r="130" spans="1:9">
      <c r="A130" s="33" t="e">
        <f>'【3-2】大区&amp;运营中心填-房间模型价'!#REF!</f>
        <v>#REF!</v>
      </c>
      <c r="B130" s="33" t="e">
        <f>'【3-2】大区&amp;运营中心填-房间模型价'!#REF!</f>
        <v>#REF!</v>
      </c>
      <c r="C130" s="65" t="e">
        <f>VLOOKUP(A130,'【3-2】大区&amp;运营中心填-房间模型价'!H:J,3,0)</f>
        <v>#REF!</v>
      </c>
      <c r="D130" s="13"/>
      <c r="E130" s="13"/>
      <c r="F130" s="13"/>
      <c r="G130" s="13"/>
      <c r="H130" s="13" t="e">
        <f t="shared" si="3"/>
        <v>#REF!</v>
      </c>
      <c r="I130" s="72"/>
    </row>
    <row r="131" spans="1:9">
      <c r="A131" s="33" t="e">
        <f>'【3-2】大区&amp;运营中心填-房间模型价'!#REF!</f>
        <v>#REF!</v>
      </c>
      <c r="B131" s="33" t="e">
        <f>'【3-2】大区&amp;运营中心填-房间模型价'!#REF!</f>
        <v>#REF!</v>
      </c>
      <c r="C131" s="65" t="e">
        <f>VLOOKUP(A131,'【3-2】大区&amp;运营中心填-房间模型价'!H:J,3,0)</f>
        <v>#REF!</v>
      </c>
      <c r="D131" s="13"/>
      <c r="E131" s="13"/>
      <c r="F131" s="13"/>
      <c r="G131" s="13"/>
      <c r="H131" s="13" t="e">
        <f t="shared" si="3"/>
        <v>#REF!</v>
      </c>
      <c r="I131" s="72"/>
    </row>
    <row r="132" spans="1:9">
      <c r="A132" s="33" t="e">
        <f>'【3-2】大区&amp;运营中心填-房间模型价'!#REF!</f>
        <v>#REF!</v>
      </c>
      <c r="B132" s="33" t="e">
        <f>'【3-2】大区&amp;运营中心填-房间模型价'!#REF!</f>
        <v>#REF!</v>
      </c>
      <c r="C132" s="65" t="e">
        <f>VLOOKUP(A132,'【3-2】大区&amp;运营中心填-房间模型价'!H:J,3,0)</f>
        <v>#REF!</v>
      </c>
      <c r="D132" s="13"/>
      <c r="E132" s="13"/>
      <c r="F132" s="13"/>
      <c r="G132" s="13"/>
      <c r="H132" s="13" t="e">
        <f t="shared" si="3"/>
        <v>#REF!</v>
      </c>
      <c r="I132" s="72"/>
    </row>
    <row r="133" spans="1:9">
      <c r="A133" s="33" t="e">
        <f>'【3-2】大区&amp;运营中心填-房间模型价'!#REF!</f>
        <v>#REF!</v>
      </c>
      <c r="B133" s="33" t="e">
        <f>'【3-2】大区&amp;运营中心填-房间模型价'!#REF!</f>
        <v>#REF!</v>
      </c>
      <c r="C133" s="65" t="e">
        <f>VLOOKUP(A133,'【3-2】大区&amp;运营中心填-房间模型价'!H:J,3,0)</f>
        <v>#REF!</v>
      </c>
      <c r="D133" s="13"/>
      <c r="E133" s="13"/>
      <c r="F133" s="13"/>
      <c r="G133" s="13"/>
      <c r="H133" s="13" t="e">
        <f t="shared" si="3"/>
        <v>#REF!</v>
      </c>
      <c r="I133" s="72"/>
    </row>
    <row r="134" spans="1:9">
      <c r="A134" s="33" t="e">
        <f>'【3-2】大区&amp;运营中心填-房间模型价'!#REF!</f>
        <v>#REF!</v>
      </c>
      <c r="B134" s="33" t="e">
        <f>'【3-2】大区&amp;运营中心填-房间模型价'!#REF!</f>
        <v>#REF!</v>
      </c>
      <c r="C134" s="65" t="e">
        <f>VLOOKUP(A134,'【3-2】大区&amp;运营中心填-房间模型价'!H:J,3,0)</f>
        <v>#REF!</v>
      </c>
      <c r="D134" s="13"/>
      <c r="E134" s="13"/>
      <c r="F134" s="13"/>
      <c r="G134" s="13"/>
      <c r="H134" s="13" t="e">
        <f t="shared" si="3"/>
        <v>#REF!</v>
      </c>
      <c r="I134" s="72"/>
    </row>
    <row r="135" spans="1:9">
      <c r="A135" s="33" t="e">
        <f>'【3-2】大区&amp;运营中心填-房间模型价'!#REF!</f>
        <v>#REF!</v>
      </c>
      <c r="B135" s="33" t="e">
        <f>'【3-2】大区&amp;运营中心填-房间模型价'!#REF!</f>
        <v>#REF!</v>
      </c>
      <c r="C135" s="65" t="e">
        <f>VLOOKUP(A135,'【3-2】大区&amp;运营中心填-房间模型价'!H:J,3,0)</f>
        <v>#REF!</v>
      </c>
      <c r="D135" s="13"/>
      <c r="E135" s="13"/>
      <c r="F135" s="13"/>
      <c r="G135" s="13"/>
      <c r="H135" s="13" t="e">
        <f t="shared" si="3"/>
        <v>#REF!</v>
      </c>
      <c r="I135" s="72"/>
    </row>
    <row r="136" spans="1:9">
      <c r="A136" s="33" t="e">
        <f>'【3-2】大区&amp;运营中心填-房间模型价'!#REF!</f>
        <v>#REF!</v>
      </c>
      <c r="B136" s="33" t="e">
        <f>'【3-2】大区&amp;运营中心填-房间模型价'!#REF!</f>
        <v>#REF!</v>
      </c>
      <c r="C136" s="65" t="e">
        <f>VLOOKUP(A136,'【3-2】大区&amp;运营中心填-房间模型价'!H:J,3,0)</f>
        <v>#REF!</v>
      </c>
      <c r="D136" s="13"/>
      <c r="E136" s="13"/>
      <c r="F136" s="13"/>
      <c r="G136" s="13"/>
      <c r="H136" s="13" t="e">
        <f t="shared" si="3"/>
        <v>#REF!</v>
      </c>
      <c r="I136" s="72"/>
    </row>
    <row r="137" spans="1:9">
      <c r="A137" s="33" t="e">
        <f>'【3-2】大区&amp;运营中心填-房间模型价'!#REF!</f>
        <v>#REF!</v>
      </c>
      <c r="B137" s="33" t="e">
        <f>'【3-2】大区&amp;运营中心填-房间模型价'!#REF!</f>
        <v>#REF!</v>
      </c>
      <c r="C137" s="65" t="e">
        <f>VLOOKUP(A137,'【3-2】大区&amp;运营中心填-房间模型价'!H:J,3,0)</f>
        <v>#REF!</v>
      </c>
      <c r="D137" s="13"/>
      <c r="E137" s="13"/>
      <c r="F137" s="13"/>
      <c r="G137" s="13"/>
      <c r="H137" s="13" t="e">
        <f t="shared" si="3"/>
        <v>#REF!</v>
      </c>
      <c r="I137" s="72"/>
    </row>
    <row r="138" spans="1:9">
      <c r="A138" s="33" t="e">
        <f>'【3-2】大区&amp;运营中心填-房间模型价'!#REF!</f>
        <v>#REF!</v>
      </c>
      <c r="B138" s="33" t="e">
        <f>'【3-2】大区&amp;运营中心填-房间模型价'!#REF!</f>
        <v>#REF!</v>
      </c>
      <c r="C138" s="65" t="e">
        <f>VLOOKUP(A138,'【3-2】大区&amp;运营中心填-房间模型价'!H:J,3,0)</f>
        <v>#REF!</v>
      </c>
      <c r="D138" s="13"/>
      <c r="E138" s="13"/>
      <c r="F138" s="13"/>
      <c r="G138" s="13"/>
      <c r="H138" s="13" t="e">
        <f t="shared" si="3"/>
        <v>#REF!</v>
      </c>
      <c r="I138" s="72"/>
    </row>
    <row r="139" spans="1:9">
      <c r="A139" s="33" t="e">
        <f>'【3-2】大区&amp;运营中心填-房间模型价'!#REF!</f>
        <v>#REF!</v>
      </c>
      <c r="B139" s="33" t="e">
        <f>'【3-2】大区&amp;运营中心填-房间模型价'!#REF!</f>
        <v>#REF!</v>
      </c>
      <c r="C139" s="65" t="e">
        <f>VLOOKUP(A139,'【3-2】大区&amp;运营中心填-房间模型价'!H:J,3,0)</f>
        <v>#REF!</v>
      </c>
      <c r="D139" s="13"/>
      <c r="E139" s="13"/>
      <c r="F139" s="13"/>
      <c r="G139" s="13"/>
      <c r="H139" s="13" t="e">
        <f t="shared" si="3"/>
        <v>#REF!</v>
      </c>
      <c r="I139" s="72"/>
    </row>
    <row r="140" spans="1:9">
      <c r="A140" s="33" t="e">
        <f>'【3-2】大区&amp;运营中心填-房间模型价'!#REF!</f>
        <v>#REF!</v>
      </c>
      <c r="B140" s="33" t="e">
        <f>'【3-2】大区&amp;运营中心填-房间模型价'!#REF!</f>
        <v>#REF!</v>
      </c>
      <c r="C140" s="65" t="e">
        <f>VLOOKUP(A140,'【3-2】大区&amp;运营中心填-房间模型价'!H:J,3,0)</f>
        <v>#REF!</v>
      </c>
      <c r="D140" s="13"/>
      <c r="E140" s="13"/>
      <c r="F140" s="13"/>
      <c r="G140" s="13"/>
      <c r="H140" s="13" t="e">
        <f t="shared" si="3"/>
        <v>#REF!</v>
      </c>
      <c r="I140" s="72"/>
    </row>
    <row r="141" spans="1:9">
      <c r="A141" s="33" t="e">
        <f>'【3-2】大区&amp;运营中心填-房间模型价'!#REF!</f>
        <v>#REF!</v>
      </c>
      <c r="B141" s="33" t="e">
        <f>'【3-2】大区&amp;运营中心填-房间模型价'!#REF!</f>
        <v>#REF!</v>
      </c>
      <c r="C141" s="65" t="e">
        <f>VLOOKUP(A141,'【3-2】大区&amp;运营中心填-房间模型价'!H:J,3,0)</f>
        <v>#REF!</v>
      </c>
      <c r="D141" s="13"/>
      <c r="E141" s="13"/>
      <c r="F141" s="13"/>
      <c r="G141" s="13"/>
      <c r="H141" s="13" t="e">
        <f t="shared" si="3"/>
        <v>#REF!</v>
      </c>
      <c r="I141" s="72"/>
    </row>
    <row r="142" spans="1:9">
      <c r="A142" s="33" t="e">
        <f>'【3-2】大区&amp;运营中心填-房间模型价'!#REF!</f>
        <v>#REF!</v>
      </c>
      <c r="B142" s="33" t="e">
        <f>'【3-2】大区&amp;运营中心填-房间模型价'!#REF!</f>
        <v>#REF!</v>
      </c>
      <c r="C142" s="65" t="e">
        <f>VLOOKUP(A142,'【3-2】大区&amp;运营中心填-房间模型价'!H:J,3,0)</f>
        <v>#REF!</v>
      </c>
      <c r="D142" s="13"/>
      <c r="E142" s="13"/>
      <c r="F142" s="13"/>
      <c r="G142" s="13"/>
      <c r="H142" s="13" t="e">
        <f t="shared" si="3"/>
        <v>#REF!</v>
      </c>
      <c r="I142" s="72"/>
    </row>
    <row r="143" spans="1:9">
      <c r="A143" s="33" t="e">
        <f>'【3-2】大区&amp;运营中心填-房间模型价'!#REF!</f>
        <v>#REF!</v>
      </c>
      <c r="B143" s="33" t="e">
        <f>'【3-2】大区&amp;运营中心填-房间模型价'!#REF!</f>
        <v>#REF!</v>
      </c>
      <c r="C143" s="65" t="e">
        <f>VLOOKUP(A143,'【3-2】大区&amp;运营中心填-房间模型价'!H:J,3,0)</f>
        <v>#REF!</v>
      </c>
      <c r="D143" s="13"/>
      <c r="E143" s="13"/>
      <c r="F143" s="13"/>
      <c r="G143" s="13"/>
      <c r="H143" s="13" t="e">
        <f t="shared" si="3"/>
        <v>#REF!</v>
      </c>
      <c r="I143" s="72"/>
    </row>
    <row r="144" spans="1:9">
      <c r="A144" s="33" t="e">
        <f>'【3-2】大区&amp;运营中心填-房间模型价'!#REF!</f>
        <v>#REF!</v>
      </c>
      <c r="B144" s="33" t="e">
        <f>'【3-2】大区&amp;运营中心填-房间模型价'!#REF!</f>
        <v>#REF!</v>
      </c>
      <c r="C144" s="65" t="e">
        <f>VLOOKUP(A144,'【3-2】大区&amp;运营中心填-房间模型价'!H:J,3,0)</f>
        <v>#REF!</v>
      </c>
      <c r="D144" s="13"/>
      <c r="E144" s="13"/>
      <c r="F144" s="13"/>
      <c r="G144" s="13"/>
      <c r="H144" s="13" t="e">
        <f t="shared" si="3"/>
        <v>#REF!</v>
      </c>
      <c r="I144" s="72"/>
    </row>
    <row r="145" spans="1:9">
      <c r="A145" s="33" t="e">
        <f>'【3-2】大区&amp;运营中心填-房间模型价'!#REF!</f>
        <v>#REF!</v>
      </c>
      <c r="B145" s="33" t="e">
        <f>'【3-2】大区&amp;运营中心填-房间模型价'!#REF!</f>
        <v>#REF!</v>
      </c>
      <c r="C145" s="65" t="e">
        <f>VLOOKUP(A145,'【3-2】大区&amp;运营中心填-房间模型价'!H:J,3,0)</f>
        <v>#REF!</v>
      </c>
      <c r="D145" s="13"/>
      <c r="E145" s="13"/>
      <c r="F145" s="13"/>
      <c r="G145" s="13"/>
      <c r="H145" s="13" t="e">
        <f t="shared" ref="H145:H208" si="4">IF(C145="开间",IF(D145+E145*2-G145&lt;=0,"1",IF(D145+E145*2-G145&lt;=1,"2",IF(D145+E145*2-G145&lt;=2,"3",IF(D145+E145*2-G145&lt;=3,"4","5")))),IF(D145+E145*2-G145&lt;1.1,"1",IF(D145+E145*2-G145&lt;=2,"2",IF(D145+E145*2-G145&lt;=3,"3",IF(D145+E145*2-G145&lt;=4,"4","5")))))</f>
        <v>#REF!</v>
      </c>
      <c r="I145" s="72"/>
    </row>
    <row r="146" spans="1:9">
      <c r="A146" s="33" t="e">
        <f>'【3-2】大区&amp;运营中心填-房间模型价'!#REF!</f>
        <v>#REF!</v>
      </c>
      <c r="B146" s="33" t="e">
        <f>'【3-2】大区&amp;运营中心填-房间模型价'!#REF!</f>
        <v>#REF!</v>
      </c>
      <c r="C146" s="65" t="e">
        <f>VLOOKUP(A146,'【3-2】大区&amp;运营中心填-房间模型价'!H:J,3,0)</f>
        <v>#REF!</v>
      </c>
      <c r="D146" s="13"/>
      <c r="E146" s="13"/>
      <c r="F146" s="13"/>
      <c r="G146" s="13"/>
      <c r="H146" s="13" t="e">
        <f t="shared" si="4"/>
        <v>#REF!</v>
      </c>
      <c r="I146" s="72"/>
    </row>
    <row r="147" spans="1:9">
      <c r="A147" s="33" t="e">
        <f>'【3-2】大区&amp;运营中心填-房间模型价'!#REF!</f>
        <v>#REF!</v>
      </c>
      <c r="B147" s="33" t="e">
        <f>'【3-2】大区&amp;运营中心填-房间模型价'!#REF!</f>
        <v>#REF!</v>
      </c>
      <c r="C147" s="65" t="e">
        <f>VLOOKUP(A147,'【3-2】大区&amp;运营中心填-房间模型价'!H:J,3,0)</f>
        <v>#REF!</v>
      </c>
      <c r="D147" s="13"/>
      <c r="E147" s="13"/>
      <c r="F147" s="13"/>
      <c r="G147" s="13"/>
      <c r="H147" s="13" t="e">
        <f t="shared" si="4"/>
        <v>#REF!</v>
      </c>
      <c r="I147" s="72"/>
    </row>
    <row r="148" spans="1:9">
      <c r="A148" s="33" t="e">
        <f>'【3-2】大区&amp;运营中心填-房间模型价'!#REF!</f>
        <v>#REF!</v>
      </c>
      <c r="B148" s="33" t="e">
        <f>'【3-2】大区&amp;运营中心填-房间模型价'!#REF!</f>
        <v>#REF!</v>
      </c>
      <c r="C148" s="65" t="e">
        <f>VLOOKUP(A148,'【3-2】大区&amp;运营中心填-房间模型价'!H:J,3,0)</f>
        <v>#REF!</v>
      </c>
      <c r="D148" s="13"/>
      <c r="E148" s="13"/>
      <c r="F148" s="13"/>
      <c r="G148" s="13"/>
      <c r="H148" s="13" t="e">
        <f t="shared" si="4"/>
        <v>#REF!</v>
      </c>
      <c r="I148" s="72"/>
    </row>
    <row r="149" spans="1:9">
      <c r="A149" s="33" t="e">
        <f>'【3-2】大区&amp;运营中心填-房间模型价'!#REF!</f>
        <v>#REF!</v>
      </c>
      <c r="B149" s="33" t="e">
        <f>'【3-2】大区&amp;运营中心填-房间模型价'!#REF!</f>
        <v>#REF!</v>
      </c>
      <c r="C149" s="65" t="e">
        <f>VLOOKUP(A149,'【3-2】大区&amp;运营中心填-房间模型价'!H:J,3,0)</f>
        <v>#REF!</v>
      </c>
      <c r="D149" s="13"/>
      <c r="E149" s="13"/>
      <c r="F149" s="13"/>
      <c r="G149" s="13"/>
      <c r="H149" s="13" t="e">
        <f t="shared" si="4"/>
        <v>#REF!</v>
      </c>
      <c r="I149" s="72"/>
    </row>
    <row r="150" spans="1:9">
      <c r="A150" s="33" t="e">
        <f>'【3-2】大区&amp;运营中心填-房间模型价'!#REF!</f>
        <v>#REF!</v>
      </c>
      <c r="B150" s="33" t="e">
        <f>'【3-2】大区&amp;运营中心填-房间模型价'!#REF!</f>
        <v>#REF!</v>
      </c>
      <c r="C150" s="65" t="e">
        <f>VLOOKUP(A150,'【3-2】大区&amp;运营中心填-房间模型价'!H:J,3,0)</f>
        <v>#REF!</v>
      </c>
      <c r="D150" s="13"/>
      <c r="E150" s="13"/>
      <c r="F150" s="13"/>
      <c r="G150" s="13"/>
      <c r="H150" s="13" t="e">
        <f t="shared" si="4"/>
        <v>#REF!</v>
      </c>
      <c r="I150" s="72"/>
    </row>
    <row r="151" spans="1:9">
      <c r="A151" s="33" t="e">
        <f>'【3-2】大区&amp;运营中心填-房间模型价'!#REF!</f>
        <v>#REF!</v>
      </c>
      <c r="B151" s="33" t="e">
        <f>'【3-2】大区&amp;运营中心填-房间模型价'!#REF!</f>
        <v>#REF!</v>
      </c>
      <c r="C151" s="65" t="e">
        <f>VLOOKUP(A151,'【3-2】大区&amp;运营中心填-房间模型价'!H:J,3,0)</f>
        <v>#REF!</v>
      </c>
      <c r="D151" s="13"/>
      <c r="E151" s="13"/>
      <c r="F151" s="13"/>
      <c r="G151" s="13"/>
      <c r="H151" s="13" t="e">
        <f t="shared" si="4"/>
        <v>#REF!</v>
      </c>
      <c r="I151" s="72"/>
    </row>
    <row r="152" spans="1:9">
      <c r="A152" s="33" t="e">
        <f>'【3-2】大区&amp;运营中心填-房间模型价'!#REF!</f>
        <v>#REF!</v>
      </c>
      <c r="B152" s="33" t="e">
        <f>'【3-2】大区&amp;运营中心填-房间模型价'!#REF!</f>
        <v>#REF!</v>
      </c>
      <c r="C152" s="65" t="e">
        <f>VLOOKUP(A152,'【3-2】大区&amp;运营中心填-房间模型价'!H:J,3,0)</f>
        <v>#REF!</v>
      </c>
      <c r="D152" s="13"/>
      <c r="E152" s="13"/>
      <c r="F152" s="13"/>
      <c r="G152" s="13"/>
      <c r="H152" s="13" t="e">
        <f t="shared" si="4"/>
        <v>#REF!</v>
      </c>
      <c r="I152" s="72"/>
    </row>
    <row r="153" spans="1:9">
      <c r="A153" s="33" t="e">
        <f>'【3-2】大区&amp;运营中心填-房间模型价'!#REF!</f>
        <v>#REF!</v>
      </c>
      <c r="B153" s="33" t="e">
        <f>'【3-2】大区&amp;运营中心填-房间模型价'!#REF!</f>
        <v>#REF!</v>
      </c>
      <c r="C153" s="65" t="e">
        <f>VLOOKUP(A153,'【3-2】大区&amp;运营中心填-房间模型价'!H:J,3,0)</f>
        <v>#REF!</v>
      </c>
      <c r="D153" s="13"/>
      <c r="E153" s="13"/>
      <c r="F153" s="13"/>
      <c r="G153" s="13"/>
      <c r="H153" s="13" t="e">
        <f t="shared" si="4"/>
        <v>#REF!</v>
      </c>
      <c r="I153" s="72"/>
    </row>
    <row r="154" spans="1:9">
      <c r="A154" s="33" t="e">
        <f>'【3-2】大区&amp;运营中心填-房间模型价'!#REF!</f>
        <v>#REF!</v>
      </c>
      <c r="B154" s="33" t="e">
        <f>'【3-2】大区&amp;运营中心填-房间模型价'!#REF!</f>
        <v>#REF!</v>
      </c>
      <c r="C154" s="65" t="e">
        <f>VLOOKUP(A154,'【3-2】大区&amp;运营中心填-房间模型价'!H:J,3,0)</f>
        <v>#REF!</v>
      </c>
      <c r="D154" s="13"/>
      <c r="E154" s="13"/>
      <c r="F154" s="13"/>
      <c r="G154" s="13"/>
      <c r="H154" s="13" t="e">
        <f t="shared" si="4"/>
        <v>#REF!</v>
      </c>
      <c r="I154" s="72"/>
    </row>
    <row r="155" spans="1:9">
      <c r="A155" s="33" t="e">
        <f>'【3-2】大区&amp;运营中心填-房间模型价'!#REF!</f>
        <v>#REF!</v>
      </c>
      <c r="B155" s="33" t="e">
        <f>'【3-2】大区&amp;运营中心填-房间模型价'!#REF!</f>
        <v>#REF!</v>
      </c>
      <c r="C155" s="65" t="e">
        <f>VLOOKUP(A155,'【3-2】大区&amp;运营中心填-房间模型价'!H:J,3,0)</f>
        <v>#REF!</v>
      </c>
      <c r="D155" s="13"/>
      <c r="E155" s="13"/>
      <c r="F155" s="13"/>
      <c r="G155" s="13"/>
      <c r="H155" s="13" t="e">
        <f t="shared" si="4"/>
        <v>#REF!</v>
      </c>
      <c r="I155" s="72"/>
    </row>
    <row r="156" spans="1:9">
      <c r="A156" s="33" t="e">
        <f>'【3-2】大区&amp;运营中心填-房间模型价'!#REF!</f>
        <v>#REF!</v>
      </c>
      <c r="B156" s="33" t="e">
        <f>'【3-2】大区&amp;运营中心填-房间模型价'!#REF!</f>
        <v>#REF!</v>
      </c>
      <c r="C156" s="65" t="e">
        <f>VLOOKUP(A156,'【3-2】大区&amp;运营中心填-房间模型价'!H:J,3,0)</f>
        <v>#REF!</v>
      </c>
      <c r="D156" s="13"/>
      <c r="E156" s="13"/>
      <c r="F156" s="13"/>
      <c r="G156" s="13"/>
      <c r="H156" s="13" t="e">
        <f t="shared" si="4"/>
        <v>#REF!</v>
      </c>
      <c r="I156" s="72"/>
    </row>
    <row r="157" spans="1:9">
      <c r="A157" s="33" t="e">
        <f>'【3-2】大区&amp;运营中心填-房间模型价'!#REF!</f>
        <v>#REF!</v>
      </c>
      <c r="B157" s="33" t="e">
        <f>'【3-2】大区&amp;运营中心填-房间模型价'!#REF!</f>
        <v>#REF!</v>
      </c>
      <c r="C157" s="65" t="e">
        <f>VLOOKUP(A157,'【3-2】大区&amp;运营中心填-房间模型价'!H:J,3,0)</f>
        <v>#REF!</v>
      </c>
      <c r="D157" s="13"/>
      <c r="E157" s="13"/>
      <c r="F157" s="13"/>
      <c r="G157" s="13"/>
      <c r="H157" s="13" t="e">
        <f t="shared" si="4"/>
        <v>#REF!</v>
      </c>
      <c r="I157" s="72"/>
    </row>
    <row r="158" spans="1:9">
      <c r="A158" s="33" t="e">
        <f>'【3-2】大区&amp;运营中心填-房间模型价'!#REF!</f>
        <v>#REF!</v>
      </c>
      <c r="B158" s="33" t="e">
        <f>'【3-2】大区&amp;运营中心填-房间模型价'!#REF!</f>
        <v>#REF!</v>
      </c>
      <c r="C158" s="65" t="e">
        <f>VLOOKUP(A158,'【3-2】大区&amp;运营中心填-房间模型价'!H:J,3,0)</f>
        <v>#REF!</v>
      </c>
      <c r="D158" s="13"/>
      <c r="E158" s="13"/>
      <c r="F158" s="13"/>
      <c r="G158" s="13"/>
      <c r="H158" s="13" t="e">
        <f t="shared" si="4"/>
        <v>#REF!</v>
      </c>
      <c r="I158" s="72"/>
    </row>
    <row r="159" spans="1:9">
      <c r="A159" s="33" t="e">
        <f>'【3-2】大区&amp;运营中心填-房间模型价'!#REF!</f>
        <v>#REF!</v>
      </c>
      <c r="B159" s="33" t="e">
        <f>'【3-2】大区&amp;运营中心填-房间模型价'!#REF!</f>
        <v>#REF!</v>
      </c>
      <c r="C159" s="65" t="e">
        <f>VLOOKUP(A159,'【3-2】大区&amp;运营中心填-房间模型价'!H:J,3,0)</f>
        <v>#REF!</v>
      </c>
      <c r="D159" s="13"/>
      <c r="E159" s="13"/>
      <c r="F159" s="13"/>
      <c r="G159" s="13"/>
      <c r="H159" s="13" t="e">
        <f t="shared" si="4"/>
        <v>#REF!</v>
      </c>
      <c r="I159" s="72"/>
    </row>
    <row r="160" spans="1:9">
      <c r="A160" s="33" t="e">
        <f>'【3-2】大区&amp;运营中心填-房间模型价'!#REF!</f>
        <v>#REF!</v>
      </c>
      <c r="B160" s="33" t="e">
        <f>'【3-2】大区&amp;运营中心填-房间模型价'!#REF!</f>
        <v>#REF!</v>
      </c>
      <c r="C160" s="65" t="e">
        <f>VLOOKUP(A160,'【3-2】大区&amp;运营中心填-房间模型价'!H:J,3,0)</f>
        <v>#REF!</v>
      </c>
      <c r="D160" s="13"/>
      <c r="E160" s="13"/>
      <c r="F160" s="13"/>
      <c r="G160" s="13"/>
      <c r="H160" s="13" t="e">
        <f t="shared" si="4"/>
        <v>#REF!</v>
      </c>
      <c r="I160" s="72"/>
    </row>
    <row r="161" spans="1:9">
      <c r="A161" s="33" t="e">
        <f>'【3-2】大区&amp;运营中心填-房间模型价'!#REF!</f>
        <v>#REF!</v>
      </c>
      <c r="B161" s="33" t="e">
        <f>'【3-2】大区&amp;运营中心填-房间模型价'!#REF!</f>
        <v>#REF!</v>
      </c>
      <c r="C161" s="65" t="e">
        <f>VLOOKUP(A161,'【3-2】大区&amp;运营中心填-房间模型价'!H:J,3,0)</f>
        <v>#REF!</v>
      </c>
      <c r="D161" s="13"/>
      <c r="E161" s="13"/>
      <c r="F161" s="13"/>
      <c r="G161" s="13"/>
      <c r="H161" s="13" t="e">
        <f t="shared" si="4"/>
        <v>#REF!</v>
      </c>
      <c r="I161" s="72"/>
    </row>
    <row r="162" spans="1:9">
      <c r="A162" s="33" t="e">
        <f>'【3-2】大区&amp;运营中心填-房间模型价'!#REF!</f>
        <v>#REF!</v>
      </c>
      <c r="B162" s="33" t="e">
        <f>'【3-2】大区&amp;运营中心填-房间模型价'!#REF!</f>
        <v>#REF!</v>
      </c>
      <c r="C162" s="65" t="e">
        <f>VLOOKUP(A162,'【3-2】大区&amp;运营中心填-房间模型价'!H:J,3,0)</f>
        <v>#REF!</v>
      </c>
      <c r="D162" s="13"/>
      <c r="E162" s="13"/>
      <c r="F162" s="13"/>
      <c r="G162" s="13"/>
      <c r="H162" s="13" t="e">
        <f t="shared" si="4"/>
        <v>#REF!</v>
      </c>
      <c r="I162" s="72"/>
    </row>
    <row r="163" spans="1:9">
      <c r="A163" s="33" t="e">
        <f>'【3-2】大区&amp;运营中心填-房间模型价'!#REF!</f>
        <v>#REF!</v>
      </c>
      <c r="B163" s="33" t="e">
        <f>'【3-2】大区&amp;运营中心填-房间模型价'!#REF!</f>
        <v>#REF!</v>
      </c>
      <c r="C163" s="65" t="e">
        <f>VLOOKUP(A163,'【3-2】大区&amp;运营中心填-房间模型价'!H:J,3,0)</f>
        <v>#REF!</v>
      </c>
      <c r="D163" s="13"/>
      <c r="E163" s="13"/>
      <c r="F163" s="13"/>
      <c r="G163" s="13"/>
      <c r="H163" s="13" t="e">
        <f t="shared" si="4"/>
        <v>#REF!</v>
      </c>
      <c r="I163" s="72"/>
    </row>
    <row r="164" spans="1:9">
      <c r="A164" s="33" t="e">
        <f>'【3-2】大区&amp;运营中心填-房间模型价'!#REF!</f>
        <v>#REF!</v>
      </c>
      <c r="B164" s="33" t="e">
        <f>'【3-2】大区&amp;运营中心填-房间模型价'!#REF!</f>
        <v>#REF!</v>
      </c>
      <c r="C164" s="65" t="e">
        <f>VLOOKUP(A164,'【3-2】大区&amp;运营中心填-房间模型价'!H:J,3,0)</f>
        <v>#REF!</v>
      </c>
      <c r="D164" s="13"/>
      <c r="E164" s="13"/>
      <c r="F164" s="13"/>
      <c r="G164" s="13"/>
      <c r="H164" s="13" t="e">
        <f t="shared" si="4"/>
        <v>#REF!</v>
      </c>
      <c r="I164" s="72"/>
    </row>
    <row r="165" spans="1:9">
      <c r="A165" s="33" t="e">
        <f>'【3-2】大区&amp;运营中心填-房间模型价'!#REF!</f>
        <v>#REF!</v>
      </c>
      <c r="B165" s="33" t="e">
        <f>'【3-2】大区&amp;运营中心填-房间模型价'!#REF!</f>
        <v>#REF!</v>
      </c>
      <c r="C165" s="65" t="e">
        <f>VLOOKUP(A165,'【3-2】大区&amp;运营中心填-房间模型价'!H:J,3,0)</f>
        <v>#REF!</v>
      </c>
      <c r="D165" s="13"/>
      <c r="E165" s="13"/>
      <c r="F165" s="13"/>
      <c r="G165" s="13"/>
      <c r="H165" s="13" t="e">
        <f t="shared" si="4"/>
        <v>#REF!</v>
      </c>
      <c r="I165" s="72"/>
    </row>
    <row r="166" spans="1:9">
      <c r="A166" s="33" t="e">
        <f>'【3-2】大区&amp;运营中心填-房间模型价'!#REF!</f>
        <v>#REF!</v>
      </c>
      <c r="B166" s="33" t="e">
        <f>'【3-2】大区&amp;运营中心填-房间模型价'!#REF!</f>
        <v>#REF!</v>
      </c>
      <c r="C166" s="65" t="e">
        <f>VLOOKUP(A166,'【3-2】大区&amp;运营中心填-房间模型价'!H:J,3,0)</f>
        <v>#REF!</v>
      </c>
      <c r="D166" s="13"/>
      <c r="E166" s="13"/>
      <c r="F166" s="13"/>
      <c r="G166" s="13"/>
      <c r="H166" s="13" t="e">
        <f t="shared" si="4"/>
        <v>#REF!</v>
      </c>
      <c r="I166" s="72"/>
    </row>
    <row r="167" spans="1:9">
      <c r="A167" s="33" t="e">
        <f>'【3-2】大区&amp;运营中心填-房间模型价'!#REF!</f>
        <v>#REF!</v>
      </c>
      <c r="B167" s="33" t="e">
        <f>'【3-2】大区&amp;运营中心填-房间模型价'!#REF!</f>
        <v>#REF!</v>
      </c>
      <c r="C167" s="65" t="e">
        <f>VLOOKUP(A167,'【3-2】大区&amp;运营中心填-房间模型价'!H:J,3,0)</f>
        <v>#REF!</v>
      </c>
      <c r="D167" s="13"/>
      <c r="E167" s="13"/>
      <c r="F167" s="13"/>
      <c r="G167" s="13"/>
      <c r="H167" s="13" t="e">
        <f t="shared" si="4"/>
        <v>#REF!</v>
      </c>
      <c r="I167" s="72"/>
    </row>
    <row r="168" spans="1:9">
      <c r="A168" s="33" t="e">
        <f>'【3-2】大区&amp;运营中心填-房间模型价'!#REF!</f>
        <v>#REF!</v>
      </c>
      <c r="B168" s="33" t="e">
        <f>'【3-2】大区&amp;运营中心填-房间模型价'!#REF!</f>
        <v>#REF!</v>
      </c>
      <c r="C168" s="65" t="e">
        <f>VLOOKUP(A168,'【3-2】大区&amp;运营中心填-房间模型价'!H:J,3,0)</f>
        <v>#REF!</v>
      </c>
      <c r="D168" s="13"/>
      <c r="E168" s="13"/>
      <c r="F168" s="13"/>
      <c r="G168" s="13"/>
      <c r="H168" s="13" t="e">
        <f t="shared" si="4"/>
        <v>#REF!</v>
      </c>
      <c r="I168" s="72"/>
    </row>
    <row r="169" spans="1:9">
      <c r="A169" s="33" t="e">
        <f>'【3-2】大区&amp;运营中心填-房间模型价'!#REF!</f>
        <v>#REF!</v>
      </c>
      <c r="B169" s="33" t="e">
        <f>'【3-2】大区&amp;运营中心填-房间模型价'!#REF!</f>
        <v>#REF!</v>
      </c>
      <c r="C169" s="65" t="e">
        <f>VLOOKUP(A169,'【3-2】大区&amp;运营中心填-房间模型价'!H:J,3,0)</f>
        <v>#REF!</v>
      </c>
      <c r="D169" s="13"/>
      <c r="E169" s="13"/>
      <c r="F169" s="13"/>
      <c r="G169" s="13"/>
      <c r="H169" s="13" t="e">
        <f t="shared" si="4"/>
        <v>#REF!</v>
      </c>
      <c r="I169" s="72"/>
    </row>
    <row r="170" spans="1:9">
      <c r="A170" s="33" t="e">
        <f>'【3-2】大区&amp;运营中心填-房间模型价'!#REF!</f>
        <v>#REF!</v>
      </c>
      <c r="B170" s="33" t="e">
        <f>'【3-2】大区&amp;运营中心填-房间模型价'!#REF!</f>
        <v>#REF!</v>
      </c>
      <c r="C170" s="65" t="e">
        <f>VLOOKUP(A170,'【3-2】大区&amp;运营中心填-房间模型价'!H:J,3,0)</f>
        <v>#REF!</v>
      </c>
      <c r="D170" s="13"/>
      <c r="E170" s="13"/>
      <c r="F170" s="13"/>
      <c r="G170" s="13"/>
      <c r="H170" s="13" t="e">
        <f t="shared" si="4"/>
        <v>#REF!</v>
      </c>
      <c r="I170" s="72"/>
    </row>
    <row r="171" spans="1:9">
      <c r="A171" s="33" t="e">
        <f>'【3-2】大区&amp;运营中心填-房间模型价'!#REF!</f>
        <v>#REF!</v>
      </c>
      <c r="B171" s="33" t="e">
        <f>'【3-2】大区&amp;运营中心填-房间模型价'!#REF!</f>
        <v>#REF!</v>
      </c>
      <c r="C171" s="65" t="e">
        <f>VLOOKUP(A171,'【3-2】大区&amp;运营中心填-房间模型价'!H:J,3,0)</f>
        <v>#REF!</v>
      </c>
      <c r="D171" s="13"/>
      <c r="E171" s="13"/>
      <c r="F171" s="13"/>
      <c r="G171" s="13"/>
      <c r="H171" s="13" t="e">
        <f t="shared" si="4"/>
        <v>#REF!</v>
      </c>
      <c r="I171" s="72"/>
    </row>
    <row r="172" spans="1:9">
      <c r="A172" s="33" t="e">
        <f>'【3-2】大区&amp;运营中心填-房间模型价'!#REF!</f>
        <v>#REF!</v>
      </c>
      <c r="B172" s="33" t="e">
        <f>'【3-2】大区&amp;运营中心填-房间模型价'!#REF!</f>
        <v>#REF!</v>
      </c>
      <c r="C172" s="65" t="e">
        <f>VLOOKUP(A172,'【3-2】大区&amp;运营中心填-房间模型价'!H:J,3,0)</f>
        <v>#REF!</v>
      </c>
      <c r="D172" s="13"/>
      <c r="E172" s="13"/>
      <c r="F172" s="13"/>
      <c r="G172" s="13"/>
      <c r="H172" s="13" t="e">
        <f t="shared" si="4"/>
        <v>#REF!</v>
      </c>
      <c r="I172" s="72"/>
    </row>
    <row r="173" spans="1:9">
      <c r="A173" s="33" t="e">
        <f>'【3-2】大区&amp;运营中心填-房间模型价'!#REF!</f>
        <v>#REF!</v>
      </c>
      <c r="B173" s="33" t="e">
        <f>'【3-2】大区&amp;运营中心填-房间模型价'!#REF!</f>
        <v>#REF!</v>
      </c>
      <c r="C173" s="65" t="e">
        <f>VLOOKUP(A173,'【3-2】大区&amp;运营中心填-房间模型价'!H:J,3,0)</f>
        <v>#REF!</v>
      </c>
      <c r="D173" s="13"/>
      <c r="E173" s="13"/>
      <c r="F173" s="13"/>
      <c r="G173" s="13"/>
      <c r="H173" s="13" t="e">
        <f t="shared" si="4"/>
        <v>#REF!</v>
      </c>
      <c r="I173" s="72"/>
    </row>
    <row r="174" spans="1:9">
      <c r="A174" s="33" t="e">
        <f>'【3-2】大区&amp;运营中心填-房间模型价'!#REF!</f>
        <v>#REF!</v>
      </c>
      <c r="B174" s="33" t="e">
        <f>'【3-2】大区&amp;运营中心填-房间模型价'!#REF!</f>
        <v>#REF!</v>
      </c>
      <c r="C174" s="65" t="e">
        <f>VLOOKUP(A174,'【3-2】大区&amp;运营中心填-房间模型价'!H:J,3,0)</f>
        <v>#REF!</v>
      </c>
      <c r="D174" s="13"/>
      <c r="E174" s="13"/>
      <c r="F174" s="13"/>
      <c r="G174" s="13"/>
      <c r="H174" s="13" t="e">
        <f t="shared" si="4"/>
        <v>#REF!</v>
      </c>
      <c r="I174" s="72"/>
    </row>
    <row r="175" spans="1:9">
      <c r="A175" s="33" t="e">
        <f>'【3-2】大区&amp;运营中心填-房间模型价'!#REF!</f>
        <v>#REF!</v>
      </c>
      <c r="B175" s="33" t="e">
        <f>'【3-2】大区&amp;运营中心填-房间模型价'!#REF!</f>
        <v>#REF!</v>
      </c>
      <c r="C175" s="65" t="e">
        <f>VLOOKUP(A175,'【3-2】大区&amp;运营中心填-房间模型价'!H:J,3,0)</f>
        <v>#REF!</v>
      </c>
      <c r="D175" s="13"/>
      <c r="E175" s="13"/>
      <c r="F175" s="13"/>
      <c r="G175" s="13"/>
      <c r="H175" s="13" t="e">
        <f t="shared" si="4"/>
        <v>#REF!</v>
      </c>
      <c r="I175" s="72"/>
    </row>
    <row r="176" spans="1:9">
      <c r="A176" s="33" t="e">
        <f>'【3-2】大区&amp;运营中心填-房间模型价'!#REF!</f>
        <v>#REF!</v>
      </c>
      <c r="B176" s="33" t="e">
        <f>'【3-2】大区&amp;运营中心填-房间模型价'!#REF!</f>
        <v>#REF!</v>
      </c>
      <c r="C176" s="65" t="e">
        <f>VLOOKUP(A176,'【3-2】大区&amp;运营中心填-房间模型价'!H:J,3,0)</f>
        <v>#REF!</v>
      </c>
      <c r="D176" s="13"/>
      <c r="E176" s="13"/>
      <c r="F176" s="13"/>
      <c r="G176" s="13"/>
      <c r="H176" s="13" t="e">
        <f t="shared" si="4"/>
        <v>#REF!</v>
      </c>
      <c r="I176" s="72"/>
    </row>
    <row r="177" spans="1:9">
      <c r="A177" s="33" t="e">
        <f>'【3-2】大区&amp;运营中心填-房间模型价'!#REF!</f>
        <v>#REF!</v>
      </c>
      <c r="B177" s="33" t="e">
        <f>'【3-2】大区&amp;运营中心填-房间模型价'!#REF!</f>
        <v>#REF!</v>
      </c>
      <c r="C177" s="65" t="e">
        <f>VLOOKUP(A177,'【3-2】大区&amp;运营中心填-房间模型价'!H:J,3,0)</f>
        <v>#REF!</v>
      </c>
      <c r="D177" s="13"/>
      <c r="E177" s="13"/>
      <c r="F177" s="13"/>
      <c r="G177" s="13"/>
      <c r="H177" s="13" t="e">
        <f t="shared" si="4"/>
        <v>#REF!</v>
      </c>
      <c r="I177" s="72"/>
    </row>
    <row r="178" spans="1:9">
      <c r="A178" s="33" t="e">
        <f>'【3-2】大区&amp;运营中心填-房间模型价'!#REF!</f>
        <v>#REF!</v>
      </c>
      <c r="B178" s="33" t="e">
        <f>'【3-2】大区&amp;运营中心填-房间模型价'!#REF!</f>
        <v>#REF!</v>
      </c>
      <c r="C178" s="65" t="e">
        <f>VLOOKUP(A178,'【3-2】大区&amp;运营中心填-房间模型价'!H:J,3,0)</f>
        <v>#REF!</v>
      </c>
      <c r="D178" s="13"/>
      <c r="E178" s="13"/>
      <c r="F178" s="13"/>
      <c r="G178" s="13"/>
      <c r="H178" s="13" t="e">
        <f t="shared" si="4"/>
        <v>#REF!</v>
      </c>
      <c r="I178" s="72"/>
    </row>
    <row r="179" spans="1:9">
      <c r="A179" s="33" t="e">
        <f>'【3-2】大区&amp;运营中心填-房间模型价'!#REF!</f>
        <v>#REF!</v>
      </c>
      <c r="B179" s="33" t="e">
        <f>'【3-2】大区&amp;运营中心填-房间模型价'!#REF!</f>
        <v>#REF!</v>
      </c>
      <c r="C179" s="65" t="e">
        <f>VLOOKUP(A179,'【3-2】大区&amp;运营中心填-房间模型价'!H:J,3,0)</f>
        <v>#REF!</v>
      </c>
      <c r="D179" s="13"/>
      <c r="E179" s="13"/>
      <c r="F179" s="13"/>
      <c r="G179" s="13"/>
      <c r="H179" s="13" t="e">
        <f t="shared" si="4"/>
        <v>#REF!</v>
      </c>
      <c r="I179" s="72"/>
    </row>
    <row r="180" spans="1:9">
      <c r="A180" s="33" t="e">
        <f>'【3-2】大区&amp;运营中心填-房间模型价'!#REF!</f>
        <v>#REF!</v>
      </c>
      <c r="B180" s="33" t="e">
        <f>'【3-2】大区&amp;运营中心填-房间模型价'!#REF!</f>
        <v>#REF!</v>
      </c>
      <c r="C180" s="65" t="e">
        <f>VLOOKUP(A180,'【3-2】大区&amp;运营中心填-房间模型价'!H:J,3,0)</f>
        <v>#REF!</v>
      </c>
      <c r="D180" s="13"/>
      <c r="E180" s="13"/>
      <c r="F180" s="13"/>
      <c r="G180" s="13"/>
      <c r="H180" s="13" t="e">
        <f t="shared" si="4"/>
        <v>#REF!</v>
      </c>
      <c r="I180" s="72"/>
    </row>
    <row r="181" spans="1:9">
      <c r="A181" s="33" t="e">
        <f>'【3-2】大区&amp;运营中心填-房间模型价'!#REF!</f>
        <v>#REF!</v>
      </c>
      <c r="B181" s="33" t="e">
        <f>'【3-2】大区&amp;运营中心填-房间模型价'!#REF!</f>
        <v>#REF!</v>
      </c>
      <c r="C181" s="65" t="e">
        <f>VLOOKUP(A181,'【3-2】大区&amp;运营中心填-房间模型价'!H:J,3,0)</f>
        <v>#REF!</v>
      </c>
      <c r="D181" s="13"/>
      <c r="E181" s="13"/>
      <c r="F181" s="13"/>
      <c r="G181" s="13"/>
      <c r="H181" s="13" t="e">
        <f t="shared" si="4"/>
        <v>#REF!</v>
      </c>
      <c r="I181" s="72"/>
    </row>
    <row r="182" spans="1:9">
      <c r="A182" s="33" t="e">
        <f>'【3-2】大区&amp;运营中心填-房间模型价'!#REF!</f>
        <v>#REF!</v>
      </c>
      <c r="B182" s="33" t="e">
        <f>'【3-2】大区&amp;运营中心填-房间模型价'!#REF!</f>
        <v>#REF!</v>
      </c>
      <c r="C182" s="65" t="e">
        <f>VLOOKUP(A182,'【3-2】大区&amp;运营中心填-房间模型价'!H:J,3,0)</f>
        <v>#REF!</v>
      </c>
      <c r="D182" s="13"/>
      <c r="E182" s="13"/>
      <c r="F182" s="13"/>
      <c r="G182" s="13"/>
      <c r="H182" s="13" t="e">
        <f t="shared" si="4"/>
        <v>#REF!</v>
      </c>
      <c r="I182" s="72"/>
    </row>
    <row r="183" spans="1:9">
      <c r="A183" s="33" t="e">
        <f>'【3-2】大区&amp;运营中心填-房间模型价'!#REF!</f>
        <v>#REF!</v>
      </c>
      <c r="B183" s="33" t="e">
        <f>'【3-2】大区&amp;运营中心填-房间模型价'!#REF!</f>
        <v>#REF!</v>
      </c>
      <c r="C183" s="65" t="e">
        <f>VLOOKUP(A183,'【3-2】大区&amp;运营中心填-房间模型价'!H:J,3,0)</f>
        <v>#REF!</v>
      </c>
      <c r="D183" s="13"/>
      <c r="E183" s="13"/>
      <c r="F183" s="13"/>
      <c r="G183" s="13"/>
      <c r="H183" s="13" t="e">
        <f t="shared" si="4"/>
        <v>#REF!</v>
      </c>
      <c r="I183" s="72"/>
    </row>
    <row r="184" spans="1:9">
      <c r="A184" s="33" t="e">
        <f>'【3-2】大区&amp;运营中心填-房间模型价'!#REF!</f>
        <v>#REF!</v>
      </c>
      <c r="B184" s="33" t="e">
        <f>'【3-2】大区&amp;运营中心填-房间模型价'!#REF!</f>
        <v>#REF!</v>
      </c>
      <c r="C184" s="65" t="e">
        <f>VLOOKUP(A184,'【3-2】大区&amp;运营中心填-房间模型价'!H:J,3,0)</f>
        <v>#REF!</v>
      </c>
      <c r="D184" s="13"/>
      <c r="E184" s="13"/>
      <c r="F184" s="13"/>
      <c r="G184" s="13"/>
      <c r="H184" s="13" t="e">
        <f t="shared" si="4"/>
        <v>#REF!</v>
      </c>
      <c r="I184" s="72"/>
    </row>
    <row r="185" spans="1:9">
      <c r="A185" s="33" t="e">
        <f>'【3-2】大区&amp;运营中心填-房间模型价'!#REF!</f>
        <v>#REF!</v>
      </c>
      <c r="B185" s="33" t="e">
        <f>'【3-2】大区&amp;运营中心填-房间模型价'!#REF!</f>
        <v>#REF!</v>
      </c>
      <c r="C185" s="65" t="e">
        <f>VLOOKUP(A185,'【3-2】大区&amp;运营中心填-房间模型价'!H:J,3,0)</f>
        <v>#REF!</v>
      </c>
      <c r="D185" s="13"/>
      <c r="E185" s="13"/>
      <c r="F185" s="13"/>
      <c r="G185" s="13"/>
      <c r="H185" s="13" t="e">
        <f t="shared" si="4"/>
        <v>#REF!</v>
      </c>
      <c r="I185" s="72"/>
    </row>
    <row r="186" spans="1:9">
      <c r="A186" s="33" t="e">
        <f>'【3-2】大区&amp;运营中心填-房间模型价'!#REF!</f>
        <v>#REF!</v>
      </c>
      <c r="B186" s="33" t="e">
        <f>'【3-2】大区&amp;运营中心填-房间模型价'!#REF!</f>
        <v>#REF!</v>
      </c>
      <c r="C186" s="65" t="e">
        <f>VLOOKUP(A186,'【3-2】大区&amp;运营中心填-房间模型价'!H:J,3,0)</f>
        <v>#REF!</v>
      </c>
      <c r="D186" s="13"/>
      <c r="E186" s="13"/>
      <c r="F186" s="13"/>
      <c r="G186" s="13"/>
      <c r="H186" s="13" t="e">
        <f t="shared" si="4"/>
        <v>#REF!</v>
      </c>
      <c r="I186" s="72"/>
    </row>
    <row r="187" spans="1:9">
      <c r="A187" s="33" t="e">
        <f>'【3-2】大区&amp;运营中心填-房间模型价'!#REF!</f>
        <v>#REF!</v>
      </c>
      <c r="B187" s="33" t="e">
        <f>'【3-2】大区&amp;运营中心填-房间模型价'!#REF!</f>
        <v>#REF!</v>
      </c>
      <c r="C187" s="65" t="e">
        <f>VLOOKUP(A187,'【3-2】大区&amp;运营中心填-房间模型价'!H:J,3,0)</f>
        <v>#REF!</v>
      </c>
      <c r="D187" s="13"/>
      <c r="E187" s="13"/>
      <c r="F187" s="13"/>
      <c r="G187" s="13"/>
      <c r="H187" s="13" t="e">
        <f t="shared" si="4"/>
        <v>#REF!</v>
      </c>
      <c r="I187" s="72"/>
    </row>
    <row r="188" spans="1:9">
      <c r="A188" s="33" t="e">
        <f>'【3-2】大区&amp;运营中心填-房间模型价'!#REF!</f>
        <v>#REF!</v>
      </c>
      <c r="B188" s="33" t="e">
        <f>'【3-2】大区&amp;运营中心填-房间模型价'!#REF!</f>
        <v>#REF!</v>
      </c>
      <c r="C188" s="65" t="e">
        <f>VLOOKUP(A188,'【3-2】大区&amp;运营中心填-房间模型价'!H:J,3,0)</f>
        <v>#REF!</v>
      </c>
      <c r="D188" s="13"/>
      <c r="E188" s="13"/>
      <c r="F188" s="13"/>
      <c r="G188" s="13"/>
      <c r="H188" s="13" t="e">
        <f t="shared" si="4"/>
        <v>#REF!</v>
      </c>
      <c r="I188" s="72"/>
    </row>
    <row r="189" spans="1:9">
      <c r="A189" s="33" t="e">
        <f>'【3-2】大区&amp;运营中心填-房间模型价'!#REF!</f>
        <v>#REF!</v>
      </c>
      <c r="B189" s="33" t="e">
        <f>'【3-2】大区&amp;运营中心填-房间模型价'!#REF!</f>
        <v>#REF!</v>
      </c>
      <c r="C189" s="65" t="e">
        <f>VLOOKUP(A189,'【3-2】大区&amp;运营中心填-房间模型价'!H:J,3,0)</f>
        <v>#REF!</v>
      </c>
      <c r="D189" s="13"/>
      <c r="E189" s="13"/>
      <c r="F189" s="13"/>
      <c r="G189" s="13"/>
      <c r="H189" s="13" t="e">
        <f t="shared" si="4"/>
        <v>#REF!</v>
      </c>
      <c r="I189" s="72"/>
    </row>
    <row r="190" spans="1:9">
      <c r="A190" s="33" t="e">
        <f>'【3-2】大区&amp;运营中心填-房间模型价'!#REF!</f>
        <v>#REF!</v>
      </c>
      <c r="B190" s="33" t="e">
        <f>'【3-2】大区&amp;运营中心填-房间模型价'!#REF!</f>
        <v>#REF!</v>
      </c>
      <c r="C190" s="65" t="e">
        <f>VLOOKUP(A190,'【3-2】大区&amp;运营中心填-房间模型价'!H:J,3,0)</f>
        <v>#REF!</v>
      </c>
      <c r="D190" s="13"/>
      <c r="E190" s="13"/>
      <c r="F190" s="13"/>
      <c r="G190" s="13"/>
      <c r="H190" s="13" t="e">
        <f t="shared" si="4"/>
        <v>#REF!</v>
      </c>
      <c r="I190" s="72"/>
    </row>
    <row r="191" spans="1:9">
      <c r="A191" s="33" t="e">
        <f>'【3-2】大区&amp;运营中心填-房间模型价'!#REF!</f>
        <v>#REF!</v>
      </c>
      <c r="B191" s="33" t="e">
        <f>'【3-2】大区&amp;运营中心填-房间模型价'!#REF!</f>
        <v>#REF!</v>
      </c>
      <c r="C191" s="65" t="e">
        <f>VLOOKUP(A191,'【3-2】大区&amp;运营中心填-房间模型价'!H:J,3,0)</f>
        <v>#REF!</v>
      </c>
      <c r="D191" s="13"/>
      <c r="E191" s="13"/>
      <c r="F191" s="13"/>
      <c r="G191" s="13"/>
      <c r="H191" s="13" t="e">
        <f t="shared" si="4"/>
        <v>#REF!</v>
      </c>
      <c r="I191" s="72"/>
    </row>
    <row r="192" spans="1:9">
      <c r="A192" s="33" t="e">
        <f>'【3-2】大区&amp;运营中心填-房间模型价'!#REF!</f>
        <v>#REF!</v>
      </c>
      <c r="B192" s="33" t="e">
        <f>'【3-2】大区&amp;运营中心填-房间模型价'!#REF!</f>
        <v>#REF!</v>
      </c>
      <c r="C192" s="65" t="e">
        <f>VLOOKUP(A192,'【3-2】大区&amp;运营中心填-房间模型价'!H:J,3,0)</f>
        <v>#REF!</v>
      </c>
      <c r="D192" s="13"/>
      <c r="E192" s="13"/>
      <c r="F192" s="13"/>
      <c r="G192" s="13"/>
      <c r="H192" s="13" t="e">
        <f t="shared" si="4"/>
        <v>#REF!</v>
      </c>
      <c r="I192" s="72"/>
    </row>
    <row r="193" spans="1:9">
      <c r="A193" s="33" t="e">
        <f>'【3-2】大区&amp;运营中心填-房间模型价'!#REF!</f>
        <v>#REF!</v>
      </c>
      <c r="B193" s="33" t="e">
        <f>'【3-2】大区&amp;运营中心填-房间模型价'!#REF!</f>
        <v>#REF!</v>
      </c>
      <c r="C193" s="65" t="e">
        <f>VLOOKUP(A193,'【3-2】大区&amp;运营中心填-房间模型价'!H:J,3,0)</f>
        <v>#REF!</v>
      </c>
      <c r="D193" s="13"/>
      <c r="E193" s="13"/>
      <c r="F193" s="13"/>
      <c r="G193" s="13"/>
      <c r="H193" s="13" t="e">
        <f t="shared" si="4"/>
        <v>#REF!</v>
      </c>
      <c r="I193" s="72"/>
    </row>
    <row r="194" spans="1:9">
      <c r="A194" s="33" t="e">
        <f>'【3-2】大区&amp;运营中心填-房间模型价'!#REF!</f>
        <v>#REF!</v>
      </c>
      <c r="B194" s="33" t="e">
        <f>'【3-2】大区&amp;运营中心填-房间模型价'!#REF!</f>
        <v>#REF!</v>
      </c>
      <c r="C194" s="65" t="e">
        <f>VLOOKUP(A194,'【3-2】大区&amp;运营中心填-房间模型价'!H:J,3,0)</f>
        <v>#REF!</v>
      </c>
      <c r="D194" s="13"/>
      <c r="E194" s="13"/>
      <c r="F194" s="13"/>
      <c r="G194" s="13"/>
      <c r="H194" s="13" t="e">
        <f t="shared" si="4"/>
        <v>#REF!</v>
      </c>
      <c r="I194" s="72"/>
    </row>
    <row r="195" spans="1:9">
      <c r="A195" s="33" t="e">
        <f>'【3-2】大区&amp;运营中心填-房间模型价'!#REF!</f>
        <v>#REF!</v>
      </c>
      <c r="B195" s="33" t="e">
        <f>'【3-2】大区&amp;运营中心填-房间模型价'!#REF!</f>
        <v>#REF!</v>
      </c>
      <c r="C195" s="65" t="e">
        <f>VLOOKUP(A195,'【3-2】大区&amp;运营中心填-房间模型价'!H:J,3,0)</f>
        <v>#REF!</v>
      </c>
      <c r="D195" s="13"/>
      <c r="E195" s="13"/>
      <c r="F195" s="13"/>
      <c r="G195" s="13"/>
      <c r="H195" s="13" t="e">
        <f t="shared" si="4"/>
        <v>#REF!</v>
      </c>
      <c r="I195" s="72"/>
    </row>
    <row r="196" spans="1:9">
      <c r="A196" s="33" t="e">
        <f>'【3-2】大区&amp;运营中心填-房间模型价'!#REF!</f>
        <v>#REF!</v>
      </c>
      <c r="B196" s="33" t="e">
        <f>'【3-2】大区&amp;运营中心填-房间模型价'!#REF!</f>
        <v>#REF!</v>
      </c>
      <c r="C196" s="65" t="e">
        <f>VLOOKUP(A196,'【3-2】大区&amp;运营中心填-房间模型价'!H:J,3,0)</f>
        <v>#REF!</v>
      </c>
      <c r="D196" s="13"/>
      <c r="E196" s="13"/>
      <c r="F196" s="13"/>
      <c r="G196" s="13"/>
      <c r="H196" s="13" t="e">
        <f t="shared" si="4"/>
        <v>#REF!</v>
      </c>
      <c r="I196" s="72"/>
    </row>
    <row r="197" spans="1:9">
      <c r="A197" s="33" t="e">
        <f>'【3-2】大区&amp;运营中心填-房间模型价'!#REF!</f>
        <v>#REF!</v>
      </c>
      <c r="B197" s="33" t="e">
        <f>'【3-2】大区&amp;运营中心填-房间模型价'!#REF!</f>
        <v>#REF!</v>
      </c>
      <c r="C197" s="65" t="e">
        <f>VLOOKUP(A197,'【3-2】大区&amp;运营中心填-房间模型价'!H:J,3,0)</f>
        <v>#REF!</v>
      </c>
      <c r="D197" s="13"/>
      <c r="E197" s="13"/>
      <c r="F197" s="13"/>
      <c r="G197" s="13"/>
      <c r="H197" s="13" t="e">
        <f t="shared" si="4"/>
        <v>#REF!</v>
      </c>
      <c r="I197" s="72"/>
    </row>
    <row r="198" spans="1:9">
      <c r="A198" s="33" t="e">
        <f>'【3-2】大区&amp;运营中心填-房间模型价'!#REF!</f>
        <v>#REF!</v>
      </c>
      <c r="B198" s="33" t="e">
        <f>'【3-2】大区&amp;运营中心填-房间模型价'!#REF!</f>
        <v>#REF!</v>
      </c>
      <c r="C198" s="65" t="e">
        <f>VLOOKUP(A198,'【3-2】大区&amp;运营中心填-房间模型价'!H:J,3,0)</f>
        <v>#REF!</v>
      </c>
      <c r="D198" s="13"/>
      <c r="E198" s="13"/>
      <c r="F198" s="13"/>
      <c r="G198" s="13"/>
      <c r="H198" s="13" t="e">
        <f t="shared" si="4"/>
        <v>#REF!</v>
      </c>
      <c r="I198" s="72"/>
    </row>
    <row r="199" spans="1:9">
      <c r="A199" s="33" t="e">
        <f>'【3-2】大区&amp;运营中心填-房间模型价'!#REF!</f>
        <v>#REF!</v>
      </c>
      <c r="B199" s="33" t="e">
        <f>'【3-2】大区&amp;运营中心填-房间模型价'!#REF!</f>
        <v>#REF!</v>
      </c>
      <c r="C199" s="65" t="e">
        <f>VLOOKUP(A199,'【3-2】大区&amp;运营中心填-房间模型价'!H:J,3,0)</f>
        <v>#REF!</v>
      </c>
      <c r="D199" s="13"/>
      <c r="E199" s="13"/>
      <c r="F199" s="13"/>
      <c r="G199" s="13"/>
      <c r="H199" s="13" t="e">
        <f t="shared" si="4"/>
        <v>#REF!</v>
      </c>
      <c r="I199" s="72"/>
    </row>
    <row r="200" spans="1:9">
      <c r="A200" s="33" t="e">
        <f>'【3-2】大区&amp;运营中心填-房间模型价'!#REF!</f>
        <v>#REF!</v>
      </c>
      <c r="B200" s="33" t="e">
        <f>'【3-2】大区&amp;运营中心填-房间模型价'!#REF!</f>
        <v>#REF!</v>
      </c>
      <c r="C200" s="65" t="e">
        <f>VLOOKUP(A200,'【3-2】大区&amp;运营中心填-房间模型价'!H:J,3,0)</f>
        <v>#REF!</v>
      </c>
      <c r="D200" s="13"/>
      <c r="E200" s="13"/>
      <c r="F200" s="13"/>
      <c r="G200" s="13"/>
      <c r="H200" s="13" t="e">
        <f t="shared" si="4"/>
        <v>#REF!</v>
      </c>
      <c r="I200" s="72"/>
    </row>
    <row r="201" spans="1:9">
      <c r="A201" s="33" t="e">
        <f>'【3-2】大区&amp;运营中心填-房间模型价'!#REF!</f>
        <v>#REF!</v>
      </c>
      <c r="B201" s="33" t="e">
        <f>'【3-2】大区&amp;运营中心填-房间模型价'!#REF!</f>
        <v>#REF!</v>
      </c>
      <c r="C201" s="65" t="e">
        <f>VLOOKUP(A201,'【3-2】大区&amp;运营中心填-房间模型价'!H:J,3,0)</f>
        <v>#REF!</v>
      </c>
      <c r="D201" s="13"/>
      <c r="E201" s="13"/>
      <c r="F201" s="13"/>
      <c r="G201" s="13"/>
      <c r="H201" s="13" t="e">
        <f t="shared" si="4"/>
        <v>#REF!</v>
      </c>
      <c r="I201" s="72"/>
    </row>
    <row r="202" spans="1:9">
      <c r="A202" s="33">
        <f>'【3-2】大区&amp;运营中心填-房间模型价'!H21</f>
        <v>0</v>
      </c>
      <c r="B202" s="33">
        <f>'【3-2】大区&amp;运营中心填-房间模型价'!I21</f>
        <v>0</v>
      </c>
      <c r="C202" s="65" t="e">
        <f>VLOOKUP(A202,'【3-2】大区&amp;运营中心填-房间模型价'!H:J,3,0)</f>
        <v>#N/A</v>
      </c>
      <c r="D202" s="13"/>
      <c r="E202" s="13"/>
      <c r="F202" s="13"/>
      <c r="G202" s="13"/>
      <c r="H202" s="13" t="e">
        <f t="shared" si="4"/>
        <v>#N/A</v>
      </c>
      <c r="I202" s="72"/>
    </row>
    <row r="203" spans="1:9">
      <c r="A203" s="33">
        <f>'【3-2】大区&amp;运营中心填-房间模型价'!H22</f>
        <v>0</v>
      </c>
      <c r="B203" s="33">
        <f>'【3-2】大区&amp;运营中心填-房间模型价'!I22</f>
        <v>0</v>
      </c>
      <c r="C203" s="65" t="e">
        <f>VLOOKUP(A203,'【3-2】大区&amp;运营中心填-房间模型价'!H:J,3,0)</f>
        <v>#N/A</v>
      </c>
      <c r="D203" s="13"/>
      <c r="E203" s="13"/>
      <c r="F203" s="13"/>
      <c r="G203" s="13"/>
      <c r="H203" s="13" t="e">
        <f t="shared" si="4"/>
        <v>#N/A</v>
      </c>
      <c r="I203" s="72"/>
    </row>
    <row r="204" spans="1:9">
      <c r="A204" s="33">
        <f>'【3-2】大区&amp;运营中心填-房间模型价'!H23</f>
        <v>0</v>
      </c>
      <c r="B204" s="33">
        <f>'【3-2】大区&amp;运营中心填-房间模型价'!I23</f>
        <v>0</v>
      </c>
      <c r="C204" s="65" t="e">
        <f>VLOOKUP(A204,'【3-2】大区&amp;运营中心填-房间模型价'!H:J,3,0)</f>
        <v>#N/A</v>
      </c>
      <c r="D204" s="13"/>
      <c r="E204" s="13"/>
      <c r="F204" s="13"/>
      <c r="G204" s="13"/>
      <c r="H204" s="13" t="e">
        <f t="shared" si="4"/>
        <v>#N/A</v>
      </c>
      <c r="I204" s="72"/>
    </row>
    <row r="205" spans="1:9">
      <c r="A205" s="33">
        <f>'【3-2】大区&amp;运营中心填-房间模型价'!H24</f>
        <v>0</v>
      </c>
      <c r="B205" s="33">
        <f>'【3-2】大区&amp;运营中心填-房间模型价'!I24</f>
        <v>0</v>
      </c>
      <c r="C205" s="65" t="e">
        <f>VLOOKUP(A205,'【3-2】大区&amp;运营中心填-房间模型价'!H:J,3,0)</f>
        <v>#N/A</v>
      </c>
      <c r="D205" s="13"/>
      <c r="E205" s="13"/>
      <c r="F205" s="13"/>
      <c r="G205" s="13"/>
      <c r="H205" s="13" t="e">
        <f t="shared" si="4"/>
        <v>#N/A</v>
      </c>
      <c r="I205" s="72"/>
    </row>
    <row r="206" spans="1:9">
      <c r="A206" s="33">
        <f>'【3-2】大区&amp;运营中心填-房间模型价'!H25</f>
        <v>0</v>
      </c>
      <c r="B206" s="33">
        <f>'【3-2】大区&amp;运营中心填-房间模型价'!I25</f>
        <v>0</v>
      </c>
      <c r="C206" s="65" t="e">
        <f>VLOOKUP(A206,'【3-2】大区&amp;运营中心填-房间模型价'!H:J,3,0)</f>
        <v>#N/A</v>
      </c>
      <c r="D206" s="13"/>
      <c r="E206" s="13"/>
      <c r="F206" s="13"/>
      <c r="G206" s="13"/>
      <c r="H206" s="13" t="e">
        <f t="shared" si="4"/>
        <v>#N/A</v>
      </c>
      <c r="I206" s="72"/>
    </row>
    <row r="207" spans="1:9">
      <c r="A207" s="33">
        <f>'【3-2】大区&amp;运营中心填-房间模型价'!H26</f>
        <v>0</v>
      </c>
      <c r="B207" s="33">
        <f>'【3-2】大区&amp;运营中心填-房间模型价'!I26</f>
        <v>0</v>
      </c>
      <c r="C207" s="65" t="e">
        <f>VLOOKUP(A207,'【3-2】大区&amp;运营中心填-房间模型价'!H:J,3,0)</f>
        <v>#N/A</v>
      </c>
      <c r="D207" s="13"/>
      <c r="E207" s="13"/>
      <c r="F207" s="13"/>
      <c r="G207" s="13"/>
      <c r="H207" s="13" t="e">
        <f t="shared" si="4"/>
        <v>#N/A</v>
      </c>
      <c r="I207" s="72"/>
    </row>
    <row r="208" spans="1:9">
      <c r="A208" s="33">
        <f>'【3-2】大区&amp;运营中心填-房间模型价'!H27</f>
        <v>0</v>
      </c>
      <c r="B208" s="33">
        <f>'【3-2】大区&amp;运营中心填-房间模型价'!I27</f>
        <v>0</v>
      </c>
      <c r="C208" s="65" t="e">
        <f>VLOOKUP(A208,'【3-2】大区&amp;运营中心填-房间模型价'!H:J,3,0)</f>
        <v>#N/A</v>
      </c>
      <c r="D208" s="13"/>
      <c r="E208" s="13"/>
      <c r="F208" s="13"/>
      <c r="G208" s="13"/>
      <c r="H208" s="13" t="e">
        <f t="shared" si="4"/>
        <v>#N/A</v>
      </c>
      <c r="I208" s="72"/>
    </row>
    <row r="209" spans="1:9">
      <c r="A209" s="33">
        <f>'【3-2】大区&amp;运营中心填-房间模型价'!H28</f>
        <v>0</v>
      </c>
      <c r="B209" s="33">
        <f>'【3-2】大区&amp;运营中心填-房间模型价'!I28</f>
        <v>0</v>
      </c>
      <c r="C209" s="65" t="e">
        <f>VLOOKUP(A209,'【3-2】大区&amp;运营中心填-房间模型价'!H:J,3,0)</f>
        <v>#N/A</v>
      </c>
      <c r="D209" s="13"/>
      <c r="E209" s="13"/>
      <c r="F209" s="13"/>
      <c r="G209" s="13"/>
      <c r="H209" s="13" t="e">
        <f t="shared" ref="H209:H272" si="5">IF(C209="开间",IF(D209+E209*2-G209&lt;=0,"1",IF(D209+E209*2-G209&lt;=1,"2",IF(D209+E209*2-G209&lt;=2,"3",IF(D209+E209*2-G209&lt;=3,"4","5")))),IF(D209+E209*2-G209&lt;1.1,"1",IF(D209+E209*2-G209&lt;=2,"2",IF(D209+E209*2-G209&lt;=3,"3",IF(D209+E209*2-G209&lt;=4,"4","5")))))</f>
        <v>#N/A</v>
      </c>
      <c r="I209" s="72"/>
    </row>
    <row r="210" spans="1:9">
      <c r="A210" s="33">
        <f>'【3-2】大区&amp;运营中心填-房间模型价'!H29</f>
        <v>0</v>
      </c>
      <c r="B210" s="33">
        <f>'【3-2】大区&amp;运营中心填-房间模型价'!I29</f>
        <v>0</v>
      </c>
      <c r="C210" s="65" t="e">
        <f>VLOOKUP(A210,'【3-2】大区&amp;运营中心填-房间模型价'!H:J,3,0)</f>
        <v>#N/A</v>
      </c>
      <c r="D210" s="13"/>
      <c r="E210" s="13"/>
      <c r="F210" s="13"/>
      <c r="G210" s="13"/>
      <c r="H210" s="13" t="e">
        <f t="shared" si="5"/>
        <v>#N/A</v>
      </c>
      <c r="I210" s="72"/>
    </row>
    <row r="211" spans="1:9">
      <c r="A211" s="33">
        <f>'【3-2】大区&amp;运营中心填-房间模型价'!H30</f>
        <v>0</v>
      </c>
      <c r="B211" s="33">
        <f>'【3-2】大区&amp;运营中心填-房间模型价'!I30</f>
        <v>0</v>
      </c>
      <c r="C211" s="65" t="e">
        <f>VLOOKUP(A211,'【3-2】大区&amp;运营中心填-房间模型价'!H:J,3,0)</f>
        <v>#N/A</v>
      </c>
      <c r="D211" s="13"/>
      <c r="E211" s="13"/>
      <c r="F211" s="13"/>
      <c r="G211" s="13"/>
      <c r="H211" s="13" t="e">
        <f t="shared" si="5"/>
        <v>#N/A</v>
      </c>
      <c r="I211" s="72"/>
    </row>
    <row r="212" spans="1:9">
      <c r="A212" s="33">
        <f>'【3-2】大区&amp;运营中心填-房间模型价'!H31</f>
        <v>0</v>
      </c>
      <c r="B212" s="33">
        <f>'【3-2】大区&amp;运营中心填-房间模型价'!I31</f>
        <v>0</v>
      </c>
      <c r="C212" s="65" t="e">
        <f>VLOOKUP(A212,'【3-2】大区&amp;运营中心填-房间模型价'!H:J,3,0)</f>
        <v>#N/A</v>
      </c>
      <c r="D212" s="13"/>
      <c r="E212" s="13"/>
      <c r="F212" s="13"/>
      <c r="G212" s="13"/>
      <c r="H212" s="13" t="e">
        <f t="shared" si="5"/>
        <v>#N/A</v>
      </c>
      <c r="I212" s="72"/>
    </row>
    <row r="213" spans="1:9">
      <c r="A213" s="33">
        <f>'【3-2】大区&amp;运营中心填-房间模型价'!H32</f>
        <v>0</v>
      </c>
      <c r="B213" s="33">
        <f>'【3-2】大区&amp;运营中心填-房间模型价'!I32</f>
        <v>0</v>
      </c>
      <c r="C213" s="65" t="e">
        <f>VLOOKUP(A213,'【3-2】大区&amp;运营中心填-房间模型价'!H:J,3,0)</f>
        <v>#N/A</v>
      </c>
      <c r="D213" s="13"/>
      <c r="E213" s="13"/>
      <c r="F213" s="13"/>
      <c r="G213" s="13"/>
      <c r="H213" s="13" t="e">
        <f t="shared" si="5"/>
        <v>#N/A</v>
      </c>
      <c r="I213" s="72"/>
    </row>
    <row r="214" spans="1:9">
      <c r="A214" s="33">
        <f>'【3-2】大区&amp;运营中心填-房间模型价'!H33</f>
        <v>0</v>
      </c>
      <c r="B214" s="33">
        <f>'【3-2】大区&amp;运营中心填-房间模型价'!I33</f>
        <v>0</v>
      </c>
      <c r="C214" s="65" t="e">
        <f>VLOOKUP(A214,'【3-2】大区&amp;运营中心填-房间模型价'!H:J,3,0)</f>
        <v>#N/A</v>
      </c>
      <c r="D214" s="13"/>
      <c r="E214" s="13"/>
      <c r="F214" s="13"/>
      <c r="G214" s="13"/>
      <c r="H214" s="13" t="e">
        <f t="shared" si="5"/>
        <v>#N/A</v>
      </c>
      <c r="I214" s="72"/>
    </row>
    <row r="215" spans="1:9">
      <c r="A215" s="33">
        <f>'【3-2】大区&amp;运营中心填-房间模型价'!H34</f>
        <v>0</v>
      </c>
      <c r="B215" s="33">
        <f>'【3-2】大区&amp;运营中心填-房间模型价'!I34</f>
        <v>0</v>
      </c>
      <c r="C215" s="65" t="e">
        <f>VLOOKUP(A215,'【3-2】大区&amp;运营中心填-房间模型价'!H:J,3,0)</f>
        <v>#N/A</v>
      </c>
      <c r="D215" s="13"/>
      <c r="E215" s="13"/>
      <c r="F215" s="13"/>
      <c r="G215" s="13"/>
      <c r="H215" s="13" t="e">
        <f t="shared" si="5"/>
        <v>#N/A</v>
      </c>
      <c r="I215" s="72"/>
    </row>
    <row r="216" spans="1:9">
      <c r="A216" s="33">
        <f>'【3-2】大区&amp;运营中心填-房间模型价'!H35</f>
        <v>0</v>
      </c>
      <c r="B216" s="33">
        <f>'【3-2】大区&amp;运营中心填-房间模型价'!I35</f>
        <v>0</v>
      </c>
      <c r="C216" s="65" t="e">
        <f>VLOOKUP(A216,'【3-2】大区&amp;运营中心填-房间模型价'!H:J,3,0)</f>
        <v>#N/A</v>
      </c>
      <c r="D216" s="13"/>
      <c r="E216" s="13"/>
      <c r="F216" s="13"/>
      <c r="G216" s="13"/>
      <c r="H216" s="13" t="e">
        <f t="shared" si="5"/>
        <v>#N/A</v>
      </c>
      <c r="I216" s="72"/>
    </row>
    <row r="217" spans="1:9">
      <c r="A217" s="33">
        <f>'【3-2】大区&amp;运营中心填-房间模型价'!H36</f>
        <v>0</v>
      </c>
      <c r="B217" s="33">
        <f>'【3-2】大区&amp;运营中心填-房间模型价'!I36</f>
        <v>0</v>
      </c>
      <c r="C217" s="65" t="e">
        <f>VLOOKUP(A217,'【3-2】大区&amp;运营中心填-房间模型价'!H:J,3,0)</f>
        <v>#N/A</v>
      </c>
      <c r="D217" s="13"/>
      <c r="E217" s="13"/>
      <c r="F217" s="13"/>
      <c r="G217" s="13"/>
      <c r="H217" s="13" t="e">
        <f t="shared" si="5"/>
        <v>#N/A</v>
      </c>
      <c r="I217" s="72"/>
    </row>
    <row r="218" spans="1:9">
      <c r="A218" s="33">
        <f>'【3-2】大区&amp;运营中心填-房间模型价'!H37</f>
        <v>0</v>
      </c>
      <c r="B218" s="33">
        <f>'【3-2】大区&amp;运营中心填-房间模型价'!I37</f>
        <v>0</v>
      </c>
      <c r="C218" s="65" t="e">
        <f>VLOOKUP(A218,'【3-2】大区&amp;运营中心填-房间模型价'!H:J,3,0)</f>
        <v>#N/A</v>
      </c>
      <c r="D218" s="13"/>
      <c r="E218" s="13"/>
      <c r="F218" s="13"/>
      <c r="G218" s="13"/>
      <c r="H218" s="13" t="e">
        <f t="shared" si="5"/>
        <v>#N/A</v>
      </c>
      <c r="I218" s="72"/>
    </row>
    <row r="219" spans="1:9">
      <c r="A219" s="33">
        <f>'【3-2】大区&amp;运营中心填-房间模型价'!H38</f>
        <v>0</v>
      </c>
      <c r="B219" s="33">
        <f>'【3-2】大区&amp;运营中心填-房间模型价'!I38</f>
        <v>0</v>
      </c>
      <c r="C219" s="65" t="e">
        <f>VLOOKUP(A219,'【3-2】大区&amp;运营中心填-房间模型价'!H:J,3,0)</f>
        <v>#N/A</v>
      </c>
      <c r="D219" s="13"/>
      <c r="E219" s="13"/>
      <c r="F219" s="13"/>
      <c r="G219" s="13"/>
      <c r="H219" s="13" t="e">
        <f t="shared" si="5"/>
        <v>#N/A</v>
      </c>
      <c r="I219" s="72"/>
    </row>
    <row r="220" spans="1:9">
      <c r="A220" s="33">
        <f>'【3-2】大区&amp;运营中心填-房间模型价'!H39</f>
        <v>0</v>
      </c>
      <c r="B220" s="33">
        <f>'【3-2】大区&amp;运营中心填-房间模型价'!I39</f>
        <v>0</v>
      </c>
      <c r="C220" s="65" t="e">
        <f>VLOOKUP(A220,'【3-2】大区&amp;运营中心填-房间模型价'!H:J,3,0)</f>
        <v>#N/A</v>
      </c>
      <c r="D220" s="13"/>
      <c r="E220" s="13"/>
      <c r="F220" s="13"/>
      <c r="G220" s="13"/>
      <c r="H220" s="13" t="e">
        <f t="shared" si="5"/>
        <v>#N/A</v>
      </c>
      <c r="I220" s="72"/>
    </row>
    <row r="221" spans="1:9">
      <c r="A221" s="33">
        <f>'【3-2】大区&amp;运营中心填-房间模型价'!H40</f>
        <v>0</v>
      </c>
      <c r="B221" s="33">
        <f>'【3-2】大区&amp;运营中心填-房间模型价'!I40</f>
        <v>0</v>
      </c>
      <c r="C221" s="65" t="e">
        <f>VLOOKUP(A221,'【3-2】大区&amp;运营中心填-房间模型价'!H:J,3,0)</f>
        <v>#N/A</v>
      </c>
      <c r="D221" s="13"/>
      <c r="E221" s="13"/>
      <c r="F221" s="13"/>
      <c r="G221" s="13"/>
      <c r="H221" s="13" t="e">
        <f t="shared" si="5"/>
        <v>#N/A</v>
      </c>
      <c r="I221" s="72"/>
    </row>
    <row r="222" spans="1:9">
      <c r="A222" s="33">
        <f>'【3-2】大区&amp;运营中心填-房间模型价'!H41</f>
        <v>0</v>
      </c>
      <c r="B222" s="33">
        <f>'【3-2】大区&amp;运营中心填-房间模型价'!I41</f>
        <v>0</v>
      </c>
      <c r="C222" s="65" t="e">
        <f>VLOOKUP(A222,'【3-2】大区&amp;运营中心填-房间模型价'!H:J,3,0)</f>
        <v>#N/A</v>
      </c>
      <c r="D222" s="13"/>
      <c r="E222" s="13"/>
      <c r="F222" s="13"/>
      <c r="G222" s="13"/>
      <c r="H222" s="13" t="e">
        <f t="shared" si="5"/>
        <v>#N/A</v>
      </c>
      <c r="I222" s="72"/>
    </row>
    <row r="223" spans="1:9">
      <c r="A223" s="33">
        <f>'【3-2】大区&amp;运营中心填-房间模型价'!H42</f>
        <v>0</v>
      </c>
      <c r="B223" s="33">
        <f>'【3-2】大区&amp;运营中心填-房间模型价'!I42</f>
        <v>0</v>
      </c>
      <c r="C223" s="65" t="e">
        <f>VLOOKUP(A223,'【3-2】大区&amp;运营中心填-房间模型价'!H:J,3,0)</f>
        <v>#N/A</v>
      </c>
      <c r="D223" s="13"/>
      <c r="E223" s="13"/>
      <c r="F223" s="13"/>
      <c r="G223" s="13"/>
      <c r="H223" s="13" t="e">
        <f t="shared" si="5"/>
        <v>#N/A</v>
      </c>
      <c r="I223" s="72"/>
    </row>
    <row r="224" spans="1:9">
      <c r="A224" s="33">
        <f>'【3-2】大区&amp;运营中心填-房间模型价'!H43</f>
        <v>0</v>
      </c>
      <c r="B224" s="33">
        <f>'【3-2】大区&amp;运营中心填-房间模型价'!I43</f>
        <v>0</v>
      </c>
      <c r="C224" s="65" t="e">
        <f>VLOOKUP(A224,'【3-2】大区&amp;运营中心填-房间模型价'!H:J,3,0)</f>
        <v>#N/A</v>
      </c>
      <c r="D224" s="13"/>
      <c r="E224" s="13"/>
      <c r="F224" s="13"/>
      <c r="G224" s="13"/>
      <c r="H224" s="13" t="e">
        <f t="shared" si="5"/>
        <v>#N/A</v>
      </c>
      <c r="I224" s="72"/>
    </row>
    <row r="225" spans="1:9">
      <c r="A225" s="33">
        <f>'【3-2】大区&amp;运营中心填-房间模型价'!H44</f>
        <v>0</v>
      </c>
      <c r="B225" s="33">
        <f>'【3-2】大区&amp;运营中心填-房间模型价'!I44</f>
        <v>0</v>
      </c>
      <c r="C225" s="65" t="e">
        <f>VLOOKUP(A225,'【3-2】大区&amp;运营中心填-房间模型价'!H:J,3,0)</f>
        <v>#N/A</v>
      </c>
      <c r="D225" s="13"/>
      <c r="E225" s="13"/>
      <c r="F225" s="13"/>
      <c r="G225" s="13"/>
      <c r="H225" s="13" t="e">
        <f t="shared" si="5"/>
        <v>#N/A</v>
      </c>
      <c r="I225" s="72"/>
    </row>
    <row r="226" spans="1:9">
      <c r="A226" s="33">
        <f>'【3-2】大区&amp;运营中心填-房间模型价'!H45</f>
        <v>0</v>
      </c>
      <c r="B226" s="33">
        <f>'【3-2】大区&amp;运营中心填-房间模型价'!I45</f>
        <v>0</v>
      </c>
      <c r="C226" s="65" t="e">
        <f>VLOOKUP(A226,'【3-2】大区&amp;运营中心填-房间模型价'!H:J,3,0)</f>
        <v>#N/A</v>
      </c>
      <c r="D226" s="13"/>
      <c r="E226" s="13"/>
      <c r="F226" s="13"/>
      <c r="G226" s="13"/>
      <c r="H226" s="13" t="e">
        <f t="shared" si="5"/>
        <v>#N/A</v>
      </c>
      <c r="I226" s="72"/>
    </row>
    <row r="227" spans="1:9">
      <c r="A227" s="33">
        <f>'【3-2】大区&amp;运营中心填-房间模型价'!H46</f>
        <v>0</v>
      </c>
      <c r="B227" s="33">
        <f>'【3-2】大区&amp;运营中心填-房间模型价'!I46</f>
        <v>0</v>
      </c>
      <c r="C227" s="65" t="e">
        <f>VLOOKUP(A227,'【3-2】大区&amp;运营中心填-房间模型价'!H:J,3,0)</f>
        <v>#N/A</v>
      </c>
      <c r="D227" s="13"/>
      <c r="E227" s="13"/>
      <c r="F227" s="13"/>
      <c r="G227" s="13"/>
      <c r="H227" s="13" t="e">
        <f t="shared" si="5"/>
        <v>#N/A</v>
      </c>
      <c r="I227" s="72"/>
    </row>
    <row r="228" spans="1:9">
      <c r="A228" s="33">
        <f>'【3-2】大区&amp;运营中心填-房间模型价'!H47</f>
        <v>0</v>
      </c>
      <c r="B228" s="33">
        <f>'【3-2】大区&amp;运营中心填-房间模型价'!I47</f>
        <v>0</v>
      </c>
      <c r="C228" s="65" t="e">
        <f>VLOOKUP(A228,'【3-2】大区&amp;运营中心填-房间模型价'!H:J,3,0)</f>
        <v>#N/A</v>
      </c>
      <c r="D228" s="13"/>
      <c r="E228" s="13"/>
      <c r="F228" s="13"/>
      <c r="G228" s="13"/>
      <c r="H228" s="13" t="e">
        <f t="shared" si="5"/>
        <v>#N/A</v>
      </c>
      <c r="I228" s="72"/>
    </row>
    <row r="229" spans="1:9">
      <c r="A229" s="33">
        <f>'【3-2】大区&amp;运营中心填-房间模型价'!H48</f>
        <v>0</v>
      </c>
      <c r="B229" s="33">
        <f>'【3-2】大区&amp;运营中心填-房间模型价'!I48</f>
        <v>0</v>
      </c>
      <c r="C229" s="65" t="e">
        <f>VLOOKUP(A229,'【3-2】大区&amp;运营中心填-房间模型价'!H:J,3,0)</f>
        <v>#N/A</v>
      </c>
      <c r="D229" s="13"/>
      <c r="E229" s="13"/>
      <c r="F229" s="13"/>
      <c r="G229" s="13"/>
      <c r="H229" s="13" t="e">
        <f t="shared" si="5"/>
        <v>#N/A</v>
      </c>
      <c r="I229" s="72"/>
    </row>
    <row r="230" spans="1:9">
      <c r="A230" s="33">
        <f>'【3-2】大区&amp;运营中心填-房间模型价'!H49</f>
        <v>0</v>
      </c>
      <c r="B230" s="33">
        <f>'【3-2】大区&amp;运营中心填-房间模型价'!I49</f>
        <v>0</v>
      </c>
      <c r="C230" s="65" t="e">
        <f>VLOOKUP(A230,'【3-2】大区&amp;运营中心填-房间模型价'!H:J,3,0)</f>
        <v>#N/A</v>
      </c>
      <c r="D230" s="13"/>
      <c r="E230" s="13"/>
      <c r="F230" s="13"/>
      <c r="G230" s="13"/>
      <c r="H230" s="13" t="e">
        <f t="shared" si="5"/>
        <v>#N/A</v>
      </c>
      <c r="I230" s="72"/>
    </row>
    <row r="231" spans="1:9">
      <c r="A231" s="33">
        <f>'【3-2】大区&amp;运营中心填-房间模型价'!H50</f>
        <v>0</v>
      </c>
      <c r="B231" s="33">
        <f>'【3-2】大区&amp;运营中心填-房间模型价'!I50</f>
        <v>0</v>
      </c>
      <c r="C231" s="65" t="e">
        <f>VLOOKUP(A231,'【3-2】大区&amp;运营中心填-房间模型价'!H:J,3,0)</f>
        <v>#N/A</v>
      </c>
      <c r="D231" s="13"/>
      <c r="E231" s="13"/>
      <c r="F231" s="13"/>
      <c r="G231" s="13"/>
      <c r="H231" s="13" t="e">
        <f t="shared" si="5"/>
        <v>#N/A</v>
      </c>
      <c r="I231" s="72"/>
    </row>
    <row r="232" spans="1:9">
      <c r="A232" s="33">
        <f>'【3-2】大区&amp;运营中心填-房间模型价'!H51</f>
        <v>0</v>
      </c>
      <c r="B232" s="33">
        <f>'【3-2】大区&amp;运营中心填-房间模型价'!I51</f>
        <v>0</v>
      </c>
      <c r="C232" s="65" t="e">
        <f>VLOOKUP(A232,'【3-2】大区&amp;运营中心填-房间模型价'!H:J,3,0)</f>
        <v>#N/A</v>
      </c>
      <c r="D232" s="13"/>
      <c r="E232" s="13"/>
      <c r="F232" s="13"/>
      <c r="G232" s="13"/>
      <c r="H232" s="13" t="e">
        <f t="shared" si="5"/>
        <v>#N/A</v>
      </c>
      <c r="I232" s="72"/>
    </row>
    <row r="233" spans="1:9">
      <c r="A233" s="33">
        <f>'【3-2】大区&amp;运营中心填-房间模型价'!H52</f>
        <v>0</v>
      </c>
      <c r="B233" s="33">
        <f>'【3-2】大区&amp;运营中心填-房间模型价'!I52</f>
        <v>0</v>
      </c>
      <c r="C233" s="65" t="e">
        <f>VLOOKUP(A233,'【3-2】大区&amp;运营中心填-房间模型价'!H:J,3,0)</f>
        <v>#N/A</v>
      </c>
      <c r="D233" s="13"/>
      <c r="E233" s="13"/>
      <c r="F233" s="13"/>
      <c r="G233" s="13"/>
      <c r="H233" s="13" t="e">
        <f t="shared" si="5"/>
        <v>#N/A</v>
      </c>
      <c r="I233" s="72"/>
    </row>
    <row r="234" spans="1:9">
      <c r="A234" s="33">
        <f>'【3-2】大区&amp;运营中心填-房间模型价'!H53</f>
        <v>0</v>
      </c>
      <c r="B234" s="33">
        <f>'【3-2】大区&amp;运营中心填-房间模型价'!I53</f>
        <v>0</v>
      </c>
      <c r="C234" s="65" t="e">
        <f>VLOOKUP(A234,'【3-2】大区&amp;运营中心填-房间模型价'!H:J,3,0)</f>
        <v>#N/A</v>
      </c>
      <c r="D234" s="13"/>
      <c r="E234" s="13"/>
      <c r="F234" s="13"/>
      <c r="G234" s="13"/>
      <c r="H234" s="13" t="e">
        <f t="shared" si="5"/>
        <v>#N/A</v>
      </c>
      <c r="I234" s="72"/>
    </row>
    <row r="235" spans="1:9">
      <c r="A235" s="33">
        <f>'【3-2】大区&amp;运营中心填-房间模型价'!H54</f>
        <v>0</v>
      </c>
      <c r="B235" s="33">
        <f>'【3-2】大区&amp;运营中心填-房间模型价'!I54</f>
        <v>0</v>
      </c>
      <c r="C235" s="65" t="e">
        <f>VLOOKUP(A235,'【3-2】大区&amp;运营中心填-房间模型价'!H:J,3,0)</f>
        <v>#N/A</v>
      </c>
      <c r="D235" s="13"/>
      <c r="E235" s="13"/>
      <c r="F235" s="13"/>
      <c r="G235" s="13"/>
      <c r="H235" s="13" t="e">
        <f t="shared" si="5"/>
        <v>#N/A</v>
      </c>
      <c r="I235" s="72"/>
    </row>
    <row r="236" spans="1:9">
      <c r="A236" s="33">
        <f>'【3-2】大区&amp;运营中心填-房间模型价'!H55</f>
        <v>0</v>
      </c>
      <c r="B236" s="33">
        <f>'【3-2】大区&amp;运营中心填-房间模型价'!I55</f>
        <v>0</v>
      </c>
      <c r="C236" s="65" t="e">
        <f>VLOOKUP(A236,'【3-2】大区&amp;运营中心填-房间模型价'!H:J,3,0)</f>
        <v>#N/A</v>
      </c>
      <c r="D236" s="13"/>
      <c r="E236" s="13"/>
      <c r="F236" s="13"/>
      <c r="G236" s="13"/>
      <c r="H236" s="13" t="e">
        <f t="shared" si="5"/>
        <v>#N/A</v>
      </c>
      <c r="I236" s="72"/>
    </row>
    <row r="237" spans="1:9">
      <c r="A237" s="33">
        <f>'【3-2】大区&amp;运营中心填-房间模型价'!H56</f>
        <v>0</v>
      </c>
      <c r="B237" s="33">
        <f>'【3-2】大区&amp;运营中心填-房间模型价'!I56</f>
        <v>0</v>
      </c>
      <c r="C237" s="65" t="e">
        <f>VLOOKUP(A237,'【3-2】大区&amp;运营中心填-房间模型价'!H:J,3,0)</f>
        <v>#N/A</v>
      </c>
      <c r="D237" s="13"/>
      <c r="E237" s="13"/>
      <c r="F237" s="13"/>
      <c r="G237" s="13"/>
      <c r="H237" s="13" t="e">
        <f t="shared" si="5"/>
        <v>#N/A</v>
      </c>
      <c r="I237" s="72"/>
    </row>
    <row r="238" spans="1:9">
      <c r="A238" s="33">
        <f>'【3-2】大区&amp;运营中心填-房间模型价'!H57</f>
        <v>0</v>
      </c>
      <c r="B238" s="33">
        <f>'【3-2】大区&amp;运营中心填-房间模型价'!I57</f>
        <v>0</v>
      </c>
      <c r="C238" s="65" t="e">
        <f>VLOOKUP(A238,'【3-2】大区&amp;运营中心填-房间模型价'!H:J,3,0)</f>
        <v>#N/A</v>
      </c>
      <c r="D238" s="13"/>
      <c r="E238" s="13"/>
      <c r="F238" s="13"/>
      <c r="G238" s="13"/>
      <c r="H238" s="13" t="e">
        <f t="shared" si="5"/>
        <v>#N/A</v>
      </c>
      <c r="I238" s="72"/>
    </row>
    <row r="239" spans="1:9">
      <c r="A239" s="33">
        <f>'【3-2】大区&amp;运营中心填-房间模型价'!H58</f>
        <v>0</v>
      </c>
      <c r="B239" s="33">
        <f>'【3-2】大区&amp;运营中心填-房间模型价'!I58</f>
        <v>0</v>
      </c>
      <c r="C239" s="65" t="e">
        <f>VLOOKUP(A239,'【3-2】大区&amp;运营中心填-房间模型价'!H:J,3,0)</f>
        <v>#N/A</v>
      </c>
      <c r="D239" s="13"/>
      <c r="E239" s="13"/>
      <c r="F239" s="13"/>
      <c r="G239" s="13"/>
      <c r="H239" s="13" t="e">
        <f t="shared" si="5"/>
        <v>#N/A</v>
      </c>
      <c r="I239" s="72"/>
    </row>
    <row r="240" spans="1:9">
      <c r="A240" s="33">
        <f>'【3-2】大区&amp;运营中心填-房间模型价'!H59</f>
        <v>0</v>
      </c>
      <c r="B240" s="33">
        <f>'【3-2】大区&amp;运营中心填-房间模型价'!I59</f>
        <v>0</v>
      </c>
      <c r="C240" s="65" t="e">
        <f>VLOOKUP(A240,'【3-2】大区&amp;运营中心填-房间模型价'!H:J,3,0)</f>
        <v>#N/A</v>
      </c>
      <c r="D240" s="13"/>
      <c r="E240" s="13"/>
      <c r="F240" s="13"/>
      <c r="G240" s="13"/>
      <c r="H240" s="13" t="e">
        <f t="shared" si="5"/>
        <v>#N/A</v>
      </c>
      <c r="I240" s="72"/>
    </row>
    <row r="241" spans="1:9">
      <c r="A241" s="33">
        <f>'【3-2】大区&amp;运营中心填-房间模型价'!H60</f>
        <v>0</v>
      </c>
      <c r="B241" s="33">
        <f>'【3-2】大区&amp;运营中心填-房间模型价'!I60</f>
        <v>0</v>
      </c>
      <c r="C241" s="65" t="e">
        <f>VLOOKUP(A241,'【3-2】大区&amp;运营中心填-房间模型价'!H:J,3,0)</f>
        <v>#N/A</v>
      </c>
      <c r="D241" s="13"/>
      <c r="E241" s="13"/>
      <c r="F241" s="13"/>
      <c r="G241" s="13"/>
      <c r="H241" s="13" t="e">
        <f t="shared" si="5"/>
        <v>#N/A</v>
      </c>
      <c r="I241" s="72"/>
    </row>
    <row r="242" spans="1:9">
      <c r="A242" s="33">
        <f>'【3-2】大区&amp;运营中心填-房间模型价'!H61</f>
        <v>0</v>
      </c>
      <c r="B242" s="33">
        <f>'【3-2】大区&amp;运营中心填-房间模型价'!I61</f>
        <v>0</v>
      </c>
      <c r="C242" s="65" t="e">
        <f>VLOOKUP(A242,'【3-2】大区&amp;运营中心填-房间模型价'!H:J,3,0)</f>
        <v>#N/A</v>
      </c>
      <c r="D242" s="13"/>
      <c r="E242" s="13"/>
      <c r="F242" s="13"/>
      <c r="G242" s="13"/>
      <c r="H242" s="13" t="e">
        <f t="shared" si="5"/>
        <v>#N/A</v>
      </c>
      <c r="I242" s="72"/>
    </row>
    <row r="243" spans="1:9">
      <c r="A243" s="33">
        <f>'【3-2】大区&amp;运营中心填-房间模型价'!H62</f>
        <v>0</v>
      </c>
      <c r="B243" s="33">
        <f>'【3-2】大区&amp;运营中心填-房间模型价'!I62</f>
        <v>0</v>
      </c>
      <c r="C243" s="65" t="e">
        <f>VLOOKUP(A243,'【3-2】大区&amp;运营中心填-房间模型价'!H:J,3,0)</f>
        <v>#N/A</v>
      </c>
      <c r="D243" s="13"/>
      <c r="E243" s="13"/>
      <c r="F243" s="13"/>
      <c r="G243" s="13"/>
      <c r="H243" s="13" t="e">
        <f t="shared" si="5"/>
        <v>#N/A</v>
      </c>
      <c r="I243" s="72"/>
    </row>
    <row r="244" spans="1:9">
      <c r="A244" s="33">
        <f>'【3-2】大区&amp;运营中心填-房间模型价'!H63</f>
        <v>0</v>
      </c>
      <c r="B244" s="33">
        <f>'【3-2】大区&amp;运营中心填-房间模型价'!I63</f>
        <v>0</v>
      </c>
      <c r="C244" s="65" t="e">
        <f>VLOOKUP(A244,'【3-2】大区&amp;运营中心填-房间模型价'!H:J,3,0)</f>
        <v>#N/A</v>
      </c>
      <c r="D244" s="13"/>
      <c r="E244" s="13"/>
      <c r="F244" s="13"/>
      <c r="G244" s="13"/>
      <c r="H244" s="13" t="e">
        <f t="shared" si="5"/>
        <v>#N/A</v>
      </c>
      <c r="I244" s="72"/>
    </row>
    <row r="245" spans="1:9">
      <c r="A245" s="33">
        <f>'【3-2】大区&amp;运营中心填-房间模型价'!H64</f>
        <v>0</v>
      </c>
      <c r="B245" s="33">
        <f>'【3-2】大区&amp;运营中心填-房间模型价'!I64</f>
        <v>0</v>
      </c>
      <c r="C245" s="65" t="e">
        <f>VLOOKUP(A245,'【3-2】大区&amp;运营中心填-房间模型价'!H:J,3,0)</f>
        <v>#N/A</v>
      </c>
      <c r="D245" s="13"/>
      <c r="E245" s="13"/>
      <c r="F245" s="13"/>
      <c r="G245" s="13"/>
      <c r="H245" s="13" t="e">
        <f t="shared" si="5"/>
        <v>#N/A</v>
      </c>
      <c r="I245" s="72"/>
    </row>
    <row r="246" spans="1:9">
      <c r="A246" s="33">
        <f>'【3-2】大区&amp;运营中心填-房间模型价'!H65</f>
        <v>0</v>
      </c>
      <c r="B246" s="33">
        <f>'【3-2】大区&amp;运营中心填-房间模型价'!I65</f>
        <v>0</v>
      </c>
      <c r="C246" s="65" t="e">
        <f>VLOOKUP(A246,'【3-2】大区&amp;运营中心填-房间模型价'!H:J,3,0)</f>
        <v>#N/A</v>
      </c>
      <c r="D246" s="13"/>
      <c r="E246" s="13"/>
      <c r="F246" s="13"/>
      <c r="G246" s="13"/>
      <c r="H246" s="13" t="e">
        <f t="shared" si="5"/>
        <v>#N/A</v>
      </c>
      <c r="I246" s="72"/>
    </row>
    <row r="247" spans="1:9">
      <c r="A247" s="33">
        <f>'【3-2】大区&amp;运营中心填-房间模型价'!H66</f>
        <v>0</v>
      </c>
      <c r="B247" s="33">
        <f>'【3-2】大区&amp;运营中心填-房间模型价'!I66</f>
        <v>0</v>
      </c>
      <c r="C247" s="65" t="e">
        <f>VLOOKUP(A247,'【3-2】大区&amp;运营中心填-房间模型价'!H:J,3,0)</f>
        <v>#N/A</v>
      </c>
      <c r="D247" s="13"/>
      <c r="E247" s="13"/>
      <c r="F247" s="13"/>
      <c r="G247" s="13"/>
      <c r="H247" s="13" t="e">
        <f t="shared" si="5"/>
        <v>#N/A</v>
      </c>
      <c r="I247" s="72"/>
    </row>
    <row r="248" spans="1:9">
      <c r="A248" s="33">
        <f>'【3-2】大区&amp;运营中心填-房间模型价'!H67</f>
        <v>0</v>
      </c>
      <c r="B248" s="33">
        <f>'【3-2】大区&amp;运营中心填-房间模型价'!I67</f>
        <v>0</v>
      </c>
      <c r="C248" s="65" t="e">
        <f>VLOOKUP(A248,'【3-2】大区&amp;运营中心填-房间模型价'!H:J,3,0)</f>
        <v>#N/A</v>
      </c>
      <c r="D248" s="13"/>
      <c r="E248" s="13"/>
      <c r="F248" s="13"/>
      <c r="G248" s="13"/>
      <c r="H248" s="13" t="e">
        <f t="shared" si="5"/>
        <v>#N/A</v>
      </c>
      <c r="I248" s="72"/>
    </row>
    <row r="249" spans="1:9">
      <c r="A249" s="33">
        <f>'【3-2】大区&amp;运营中心填-房间模型价'!H68</f>
        <v>0</v>
      </c>
      <c r="B249" s="33">
        <f>'【3-2】大区&amp;运营中心填-房间模型价'!I68</f>
        <v>0</v>
      </c>
      <c r="C249" s="65" t="e">
        <f>VLOOKUP(A249,'【3-2】大区&amp;运营中心填-房间模型价'!H:J,3,0)</f>
        <v>#N/A</v>
      </c>
      <c r="D249" s="13"/>
      <c r="E249" s="13"/>
      <c r="F249" s="13"/>
      <c r="G249" s="13"/>
      <c r="H249" s="13" t="e">
        <f t="shared" si="5"/>
        <v>#N/A</v>
      </c>
      <c r="I249" s="72"/>
    </row>
    <row r="250" spans="1:9">
      <c r="A250" s="33">
        <f>'【3-2】大区&amp;运营中心填-房间模型价'!H69</f>
        <v>0</v>
      </c>
      <c r="B250" s="33">
        <f>'【3-2】大区&amp;运营中心填-房间模型价'!I69</f>
        <v>0</v>
      </c>
      <c r="C250" s="65" t="e">
        <f>VLOOKUP(A250,'【3-2】大区&amp;运营中心填-房间模型价'!H:J,3,0)</f>
        <v>#N/A</v>
      </c>
      <c r="D250" s="13"/>
      <c r="E250" s="13"/>
      <c r="F250" s="13"/>
      <c r="G250" s="13"/>
      <c r="H250" s="13" t="e">
        <f t="shared" si="5"/>
        <v>#N/A</v>
      </c>
      <c r="I250" s="72"/>
    </row>
    <row r="251" spans="1:9">
      <c r="A251" s="33">
        <f>'【3-2】大区&amp;运营中心填-房间模型价'!H70</f>
        <v>0</v>
      </c>
      <c r="B251" s="33">
        <f>'【3-2】大区&amp;运营中心填-房间模型价'!I70</f>
        <v>0</v>
      </c>
      <c r="C251" s="65" t="e">
        <f>VLOOKUP(A251,'【3-2】大区&amp;运营中心填-房间模型价'!H:J,3,0)</f>
        <v>#N/A</v>
      </c>
      <c r="D251" s="13"/>
      <c r="E251" s="13"/>
      <c r="F251" s="13"/>
      <c r="G251" s="13"/>
      <c r="H251" s="13" t="e">
        <f t="shared" si="5"/>
        <v>#N/A</v>
      </c>
      <c r="I251" s="72"/>
    </row>
    <row r="252" spans="1:9">
      <c r="A252" s="33">
        <f>'【3-2】大区&amp;运营中心填-房间模型价'!H71</f>
        <v>0</v>
      </c>
      <c r="B252" s="33">
        <f>'【3-2】大区&amp;运营中心填-房间模型价'!I71</f>
        <v>0</v>
      </c>
      <c r="C252" s="65" t="e">
        <f>VLOOKUP(A252,'【3-2】大区&amp;运营中心填-房间模型价'!H:J,3,0)</f>
        <v>#N/A</v>
      </c>
      <c r="D252" s="13"/>
      <c r="E252" s="13"/>
      <c r="F252" s="13"/>
      <c r="G252" s="13"/>
      <c r="H252" s="13" t="e">
        <f t="shared" si="5"/>
        <v>#N/A</v>
      </c>
      <c r="I252" s="72"/>
    </row>
    <row r="253" spans="1:9">
      <c r="A253" s="33">
        <f>'【3-2】大区&amp;运营中心填-房间模型价'!H72</f>
        <v>0</v>
      </c>
      <c r="B253" s="33">
        <f>'【3-2】大区&amp;运营中心填-房间模型价'!I72</f>
        <v>0</v>
      </c>
      <c r="C253" s="65" t="e">
        <f>VLOOKUP(A253,'【3-2】大区&amp;运营中心填-房间模型价'!H:J,3,0)</f>
        <v>#N/A</v>
      </c>
      <c r="D253" s="13"/>
      <c r="E253" s="13"/>
      <c r="F253" s="13"/>
      <c r="G253" s="13"/>
      <c r="H253" s="13" t="e">
        <f t="shared" si="5"/>
        <v>#N/A</v>
      </c>
      <c r="I253" s="72"/>
    </row>
    <row r="254" spans="1:9">
      <c r="A254" s="33">
        <f>'【3-2】大区&amp;运营中心填-房间模型价'!H73</f>
        <v>0</v>
      </c>
      <c r="B254" s="33">
        <f>'【3-2】大区&amp;运营中心填-房间模型价'!I73</f>
        <v>0</v>
      </c>
      <c r="C254" s="65" t="e">
        <f>VLOOKUP(A254,'【3-2】大区&amp;运营中心填-房间模型价'!H:J,3,0)</f>
        <v>#N/A</v>
      </c>
      <c r="D254" s="13"/>
      <c r="E254" s="13"/>
      <c r="F254" s="13"/>
      <c r="G254" s="13"/>
      <c r="H254" s="13" t="e">
        <f t="shared" si="5"/>
        <v>#N/A</v>
      </c>
      <c r="I254" s="72"/>
    </row>
    <row r="255" spans="1:9">
      <c r="A255" s="33">
        <f>'【3-2】大区&amp;运营中心填-房间模型价'!H74</f>
        <v>0</v>
      </c>
      <c r="B255" s="33">
        <f>'【3-2】大区&amp;运营中心填-房间模型价'!I74</f>
        <v>0</v>
      </c>
      <c r="C255" s="65" t="e">
        <f>VLOOKUP(A255,'【3-2】大区&amp;运营中心填-房间模型价'!H:J,3,0)</f>
        <v>#N/A</v>
      </c>
      <c r="D255" s="13"/>
      <c r="E255" s="13"/>
      <c r="F255" s="13"/>
      <c r="G255" s="13"/>
      <c r="H255" s="13" t="e">
        <f t="shared" si="5"/>
        <v>#N/A</v>
      </c>
      <c r="I255" s="72"/>
    </row>
    <row r="256" spans="1:9">
      <c r="A256" s="33">
        <f>'【3-2】大区&amp;运营中心填-房间模型价'!H75</f>
        <v>0</v>
      </c>
      <c r="B256" s="33">
        <f>'【3-2】大区&amp;运营中心填-房间模型价'!I75</f>
        <v>0</v>
      </c>
      <c r="C256" s="65" t="e">
        <f>VLOOKUP(A256,'【3-2】大区&amp;运营中心填-房间模型价'!H:J,3,0)</f>
        <v>#N/A</v>
      </c>
      <c r="D256" s="13"/>
      <c r="E256" s="13"/>
      <c r="F256" s="13"/>
      <c r="G256" s="13"/>
      <c r="H256" s="13" t="e">
        <f t="shared" si="5"/>
        <v>#N/A</v>
      </c>
      <c r="I256" s="72"/>
    </row>
    <row r="257" spans="1:9">
      <c r="A257" s="33">
        <f>'【3-2】大区&amp;运营中心填-房间模型价'!H76</f>
        <v>0</v>
      </c>
      <c r="B257" s="33">
        <f>'【3-2】大区&amp;运营中心填-房间模型价'!I76</f>
        <v>0</v>
      </c>
      <c r="C257" s="65" t="e">
        <f>VLOOKUP(A257,'【3-2】大区&amp;运营中心填-房间模型价'!H:J,3,0)</f>
        <v>#N/A</v>
      </c>
      <c r="D257" s="13"/>
      <c r="E257" s="13"/>
      <c r="F257" s="13"/>
      <c r="G257" s="13"/>
      <c r="H257" s="13" t="e">
        <f t="shared" si="5"/>
        <v>#N/A</v>
      </c>
      <c r="I257" s="72"/>
    </row>
    <row r="258" spans="1:9">
      <c r="A258" s="33">
        <f>'【3-2】大区&amp;运营中心填-房间模型价'!H77</f>
        <v>0</v>
      </c>
      <c r="B258" s="33">
        <f>'【3-2】大区&amp;运营中心填-房间模型价'!I77</f>
        <v>0</v>
      </c>
      <c r="C258" s="65" t="e">
        <f>VLOOKUP(A258,'【3-2】大区&amp;运营中心填-房间模型价'!H:J,3,0)</f>
        <v>#N/A</v>
      </c>
      <c r="D258" s="13"/>
      <c r="E258" s="13"/>
      <c r="F258" s="13"/>
      <c r="G258" s="13"/>
      <c r="H258" s="13" t="e">
        <f t="shared" si="5"/>
        <v>#N/A</v>
      </c>
      <c r="I258" s="72"/>
    </row>
    <row r="259" spans="1:9">
      <c r="A259" s="33">
        <f>'【3-2】大区&amp;运营中心填-房间模型价'!H78</f>
        <v>0</v>
      </c>
      <c r="B259" s="33">
        <f>'【3-2】大区&amp;运营中心填-房间模型价'!I78</f>
        <v>0</v>
      </c>
      <c r="C259" s="65" t="e">
        <f>VLOOKUP(A259,'【3-2】大区&amp;运营中心填-房间模型价'!H:J,3,0)</f>
        <v>#N/A</v>
      </c>
      <c r="D259" s="13"/>
      <c r="E259" s="13"/>
      <c r="F259" s="13"/>
      <c r="G259" s="13"/>
      <c r="H259" s="13" t="e">
        <f t="shared" si="5"/>
        <v>#N/A</v>
      </c>
      <c r="I259" s="72"/>
    </row>
    <row r="260" spans="1:9">
      <c r="A260" s="33">
        <f>'【3-2】大区&amp;运营中心填-房间模型价'!H79</f>
        <v>0</v>
      </c>
      <c r="B260" s="33">
        <f>'【3-2】大区&amp;运营中心填-房间模型价'!I79</f>
        <v>0</v>
      </c>
      <c r="C260" s="65" t="e">
        <f>VLOOKUP(A260,'【3-2】大区&amp;运营中心填-房间模型价'!H:J,3,0)</f>
        <v>#N/A</v>
      </c>
      <c r="D260" s="13"/>
      <c r="E260" s="13"/>
      <c r="F260" s="13"/>
      <c r="G260" s="13"/>
      <c r="H260" s="13" t="e">
        <f t="shared" si="5"/>
        <v>#N/A</v>
      </c>
      <c r="I260" s="72"/>
    </row>
    <row r="261" spans="1:9">
      <c r="A261" s="33">
        <f>'【3-2】大区&amp;运营中心填-房间模型价'!H80</f>
        <v>0</v>
      </c>
      <c r="B261" s="33">
        <f>'【3-2】大区&amp;运营中心填-房间模型价'!I80</f>
        <v>0</v>
      </c>
      <c r="C261" s="65" t="e">
        <f>VLOOKUP(A261,'【3-2】大区&amp;运营中心填-房间模型价'!H:J,3,0)</f>
        <v>#N/A</v>
      </c>
      <c r="D261" s="13"/>
      <c r="E261" s="13"/>
      <c r="F261" s="13"/>
      <c r="G261" s="13"/>
      <c r="H261" s="13" t="e">
        <f t="shared" si="5"/>
        <v>#N/A</v>
      </c>
      <c r="I261" s="72"/>
    </row>
    <row r="262" spans="1:9">
      <c r="A262" s="33">
        <f>'【3-2】大区&amp;运营中心填-房间模型价'!H81</f>
        <v>0</v>
      </c>
      <c r="B262" s="33">
        <f>'【3-2】大区&amp;运营中心填-房间模型价'!I81</f>
        <v>0</v>
      </c>
      <c r="C262" s="65" t="e">
        <f>VLOOKUP(A262,'【3-2】大区&amp;运营中心填-房间模型价'!H:J,3,0)</f>
        <v>#N/A</v>
      </c>
      <c r="D262" s="13"/>
      <c r="E262" s="13"/>
      <c r="F262" s="13"/>
      <c r="G262" s="13"/>
      <c r="H262" s="13" t="e">
        <f t="shared" si="5"/>
        <v>#N/A</v>
      </c>
      <c r="I262" s="72"/>
    </row>
    <row r="263" spans="1:9">
      <c r="A263" s="33">
        <f>'【3-2】大区&amp;运营中心填-房间模型价'!H82</f>
        <v>0</v>
      </c>
      <c r="B263" s="33">
        <f>'【3-2】大区&amp;运营中心填-房间模型价'!I82</f>
        <v>0</v>
      </c>
      <c r="C263" s="65" t="e">
        <f>VLOOKUP(A263,'【3-2】大区&amp;运营中心填-房间模型价'!H:J,3,0)</f>
        <v>#N/A</v>
      </c>
      <c r="D263" s="13"/>
      <c r="E263" s="13"/>
      <c r="F263" s="13"/>
      <c r="G263" s="13"/>
      <c r="H263" s="13" t="e">
        <f t="shared" si="5"/>
        <v>#N/A</v>
      </c>
      <c r="I263" s="72"/>
    </row>
    <row r="264" spans="1:9">
      <c r="A264" s="33">
        <f>'【3-2】大区&amp;运营中心填-房间模型价'!H83</f>
        <v>0</v>
      </c>
      <c r="B264" s="33">
        <f>'【3-2】大区&amp;运营中心填-房间模型价'!I83</f>
        <v>0</v>
      </c>
      <c r="C264" s="65" t="e">
        <f>VLOOKUP(A264,'【3-2】大区&amp;运营中心填-房间模型价'!H:J,3,0)</f>
        <v>#N/A</v>
      </c>
      <c r="D264" s="13"/>
      <c r="E264" s="13"/>
      <c r="F264" s="13"/>
      <c r="G264" s="13"/>
      <c r="H264" s="13" t="e">
        <f t="shared" si="5"/>
        <v>#N/A</v>
      </c>
      <c r="I264" s="72"/>
    </row>
    <row r="265" spans="1:9">
      <c r="A265" s="33">
        <f>'【3-2】大区&amp;运营中心填-房间模型价'!H84</f>
        <v>0</v>
      </c>
      <c r="B265" s="33">
        <f>'【3-2】大区&amp;运营中心填-房间模型价'!I84</f>
        <v>0</v>
      </c>
      <c r="C265" s="65" t="e">
        <f>VLOOKUP(A265,'【3-2】大区&amp;运营中心填-房间模型价'!H:J,3,0)</f>
        <v>#N/A</v>
      </c>
      <c r="D265" s="13"/>
      <c r="E265" s="13"/>
      <c r="F265" s="13"/>
      <c r="G265" s="13"/>
      <c r="H265" s="13" t="e">
        <f t="shared" si="5"/>
        <v>#N/A</v>
      </c>
      <c r="I265" s="72"/>
    </row>
    <row r="266" spans="1:9">
      <c r="A266" s="33">
        <f>'【3-2】大区&amp;运营中心填-房间模型价'!H85</f>
        <v>0</v>
      </c>
      <c r="B266" s="33">
        <f>'【3-2】大区&amp;运营中心填-房间模型价'!I85</f>
        <v>0</v>
      </c>
      <c r="C266" s="65" t="e">
        <f>VLOOKUP(A266,'【3-2】大区&amp;运营中心填-房间模型价'!H:J,3,0)</f>
        <v>#N/A</v>
      </c>
      <c r="D266" s="13"/>
      <c r="E266" s="13"/>
      <c r="F266" s="13"/>
      <c r="G266" s="13"/>
      <c r="H266" s="13" t="e">
        <f t="shared" si="5"/>
        <v>#N/A</v>
      </c>
      <c r="I266" s="72"/>
    </row>
    <row r="267" spans="1:9">
      <c r="A267" s="33">
        <f>'【3-2】大区&amp;运营中心填-房间模型价'!H86</f>
        <v>0</v>
      </c>
      <c r="B267" s="33">
        <f>'【3-2】大区&amp;运营中心填-房间模型价'!I86</f>
        <v>0</v>
      </c>
      <c r="C267" s="65" t="e">
        <f>VLOOKUP(A267,'【3-2】大区&amp;运营中心填-房间模型价'!H:J,3,0)</f>
        <v>#N/A</v>
      </c>
      <c r="D267" s="13"/>
      <c r="E267" s="13"/>
      <c r="F267" s="13"/>
      <c r="G267" s="13"/>
      <c r="H267" s="13" t="e">
        <f t="shared" si="5"/>
        <v>#N/A</v>
      </c>
      <c r="I267" s="72"/>
    </row>
    <row r="268" spans="1:9">
      <c r="A268" s="33">
        <f>'【3-2】大区&amp;运营中心填-房间模型价'!H87</f>
        <v>0</v>
      </c>
      <c r="B268" s="33">
        <f>'【3-2】大区&amp;运营中心填-房间模型价'!I87</f>
        <v>0</v>
      </c>
      <c r="C268" s="65" t="e">
        <f>VLOOKUP(A268,'【3-2】大区&amp;运营中心填-房间模型价'!H:J,3,0)</f>
        <v>#N/A</v>
      </c>
      <c r="D268" s="13"/>
      <c r="E268" s="13"/>
      <c r="F268" s="13"/>
      <c r="G268" s="13"/>
      <c r="H268" s="13" t="e">
        <f t="shared" si="5"/>
        <v>#N/A</v>
      </c>
      <c r="I268" s="72"/>
    </row>
    <row r="269" spans="1:9">
      <c r="A269" s="33">
        <f>'【3-2】大区&amp;运营中心填-房间模型价'!H88</f>
        <v>0</v>
      </c>
      <c r="B269" s="33">
        <f>'【3-2】大区&amp;运营中心填-房间模型价'!I88</f>
        <v>0</v>
      </c>
      <c r="C269" s="65" t="e">
        <f>VLOOKUP(A269,'【3-2】大区&amp;运营中心填-房间模型价'!H:J,3,0)</f>
        <v>#N/A</v>
      </c>
      <c r="D269" s="13"/>
      <c r="E269" s="13"/>
      <c r="F269" s="13"/>
      <c r="G269" s="13"/>
      <c r="H269" s="13" t="e">
        <f t="shared" si="5"/>
        <v>#N/A</v>
      </c>
      <c r="I269" s="72"/>
    </row>
    <row r="270" spans="1:9">
      <c r="A270" s="33">
        <f>'【3-2】大区&amp;运营中心填-房间模型价'!H89</f>
        <v>0</v>
      </c>
      <c r="B270" s="33">
        <f>'【3-2】大区&amp;运营中心填-房间模型价'!I89</f>
        <v>0</v>
      </c>
      <c r="C270" s="65" t="e">
        <f>VLOOKUP(A270,'【3-2】大区&amp;运营中心填-房间模型价'!H:J,3,0)</f>
        <v>#N/A</v>
      </c>
      <c r="D270" s="13"/>
      <c r="E270" s="13"/>
      <c r="F270" s="13"/>
      <c r="G270" s="13"/>
      <c r="H270" s="13" t="e">
        <f t="shared" si="5"/>
        <v>#N/A</v>
      </c>
      <c r="I270" s="72"/>
    </row>
    <row r="271" spans="1:9">
      <c r="A271" s="33">
        <f>'【3-2】大区&amp;运营中心填-房间模型价'!H90</f>
        <v>0</v>
      </c>
      <c r="B271" s="33">
        <f>'【3-2】大区&amp;运营中心填-房间模型价'!I90</f>
        <v>0</v>
      </c>
      <c r="C271" s="65" t="e">
        <f>VLOOKUP(A271,'【3-2】大区&amp;运营中心填-房间模型价'!H:J,3,0)</f>
        <v>#N/A</v>
      </c>
      <c r="D271" s="13"/>
      <c r="E271" s="13"/>
      <c r="F271" s="13"/>
      <c r="G271" s="13"/>
      <c r="H271" s="13" t="e">
        <f t="shared" si="5"/>
        <v>#N/A</v>
      </c>
      <c r="I271" s="72"/>
    </row>
    <row r="272" spans="1:9">
      <c r="A272" s="33">
        <f>'【3-2】大区&amp;运营中心填-房间模型价'!H91</f>
        <v>0</v>
      </c>
      <c r="B272" s="33">
        <f>'【3-2】大区&amp;运营中心填-房间模型价'!I91</f>
        <v>0</v>
      </c>
      <c r="C272" s="65" t="e">
        <f>VLOOKUP(A272,'【3-2】大区&amp;运营中心填-房间模型价'!H:J,3,0)</f>
        <v>#N/A</v>
      </c>
      <c r="D272" s="13"/>
      <c r="E272" s="13"/>
      <c r="F272" s="13"/>
      <c r="G272" s="13"/>
      <c r="H272" s="13" t="e">
        <f t="shared" si="5"/>
        <v>#N/A</v>
      </c>
      <c r="I272" s="72"/>
    </row>
    <row r="273" spans="1:9">
      <c r="A273" s="33">
        <f>'【3-2】大区&amp;运营中心填-房间模型价'!H92</f>
        <v>0</v>
      </c>
      <c r="B273" s="33">
        <f>'【3-2】大区&amp;运营中心填-房间模型价'!I92</f>
        <v>0</v>
      </c>
      <c r="C273" s="65" t="e">
        <f>VLOOKUP(A273,'【3-2】大区&amp;运营中心填-房间模型价'!H:J,3,0)</f>
        <v>#N/A</v>
      </c>
      <c r="D273" s="13"/>
      <c r="E273" s="13"/>
      <c r="F273" s="13"/>
      <c r="G273" s="13"/>
      <c r="H273" s="13" t="e">
        <f t="shared" ref="H273:H276" si="6">IF(C273="开间",IF(D273+E273*2-G273&lt;=0,"1",IF(D273+E273*2-G273&lt;=1,"2",IF(D273+E273*2-G273&lt;=2,"3",IF(D273+E273*2-G273&lt;=3,"4","5")))),IF(D273+E273*2-G273&lt;1.1,"1",IF(D273+E273*2-G273&lt;=2,"2",IF(D273+E273*2-G273&lt;=3,"3",IF(D273+E273*2-G273&lt;=4,"4","5")))))</f>
        <v>#N/A</v>
      </c>
      <c r="I273" s="72"/>
    </row>
    <row r="274" spans="1:9">
      <c r="A274" s="33">
        <f>'【3-2】大区&amp;运营中心填-房间模型价'!H93</f>
        <v>0</v>
      </c>
      <c r="B274" s="33">
        <f>'【3-2】大区&amp;运营中心填-房间模型价'!I93</f>
        <v>0</v>
      </c>
      <c r="C274" s="65" t="e">
        <f>VLOOKUP(A274,'【3-2】大区&amp;运营中心填-房间模型价'!H:J,3,0)</f>
        <v>#N/A</v>
      </c>
      <c r="D274" s="13"/>
      <c r="E274" s="13"/>
      <c r="F274" s="13"/>
      <c r="G274" s="13"/>
      <c r="H274" s="13" t="e">
        <f t="shared" si="6"/>
        <v>#N/A</v>
      </c>
      <c r="I274" s="72"/>
    </row>
    <row r="275" spans="1:9">
      <c r="A275" s="33">
        <f>'【3-2】大区&amp;运营中心填-房间模型价'!H94</f>
        <v>0</v>
      </c>
      <c r="B275" s="33">
        <f>'【3-2】大区&amp;运营中心填-房间模型价'!I94</f>
        <v>0</v>
      </c>
      <c r="C275" s="65" t="e">
        <f>VLOOKUP(A275,'【3-2】大区&amp;运营中心填-房间模型价'!H:J,3,0)</f>
        <v>#N/A</v>
      </c>
      <c r="D275" s="13"/>
      <c r="E275" s="13"/>
      <c r="F275" s="13"/>
      <c r="G275" s="13"/>
      <c r="H275" s="13" t="e">
        <f t="shared" si="6"/>
        <v>#N/A</v>
      </c>
      <c r="I275" s="72"/>
    </row>
    <row r="276" spans="1:9">
      <c r="A276" s="33">
        <f>'【3-2】大区&amp;运营中心填-房间模型价'!H95</f>
        <v>0</v>
      </c>
      <c r="B276" s="33">
        <f>'【3-2】大区&amp;运营中心填-房间模型价'!I95</f>
        <v>0</v>
      </c>
      <c r="C276" s="65" t="e">
        <f>VLOOKUP(A276,'【3-2】大区&amp;运营中心填-房间模型价'!H:J,3,0)</f>
        <v>#N/A</v>
      </c>
      <c r="D276" s="13"/>
      <c r="E276" s="13"/>
      <c r="F276" s="13"/>
      <c r="G276" s="13"/>
      <c r="H276" s="13" t="e">
        <f t="shared" si="6"/>
        <v>#N/A</v>
      </c>
      <c r="I276" s="72"/>
    </row>
  </sheetData>
  <mergeCells count="12"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G20"/>
  <sheetViews>
    <sheetView tabSelected="1" zoomScale="90" zoomScaleNormal="90" workbookViewId="0">
      <pane ySplit="1" topLeftCell="A2" activePane="bottomLeft" state="frozen"/>
      <selection/>
      <selection pane="bottomLeft" activeCell="AE22" sqref="AE22"/>
    </sheetView>
  </sheetViews>
  <sheetFormatPr defaultColWidth="8.41666666666667" defaultRowHeight="13.8"/>
  <cols>
    <col min="1" max="1" width="11" style="28" customWidth="1"/>
    <col min="2" max="7" width="14" style="28" hidden="1" customWidth="1"/>
    <col min="8" max="8" width="13" style="28" customWidth="1"/>
    <col min="9" max="9" width="11" style="28" customWidth="1"/>
    <col min="10" max="10" width="15" style="28" customWidth="1"/>
    <col min="11" max="11" width="11" style="28" hidden="1" customWidth="1"/>
    <col min="12" max="12" width="19.25" style="29" customWidth="1"/>
    <col min="13" max="14" width="15" style="28" customWidth="1" outlineLevel="1"/>
    <col min="15" max="15" width="16" hidden="1" customWidth="1" outlineLevel="1"/>
    <col min="16" max="16" width="11" style="2" customWidth="1" outlineLevel="1"/>
    <col min="17" max="17" width="16" style="2" hidden="1" customWidth="1" outlineLevel="1"/>
    <col min="18" max="18" width="17.0833333333333" style="2" hidden="1" customWidth="1" outlineLevel="1"/>
    <col min="19" max="19" width="16" hidden="1" customWidth="1" outlineLevel="1"/>
    <col min="20" max="20" width="17.0833333333333" hidden="1" customWidth="1" outlineLevel="1"/>
    <col min="21" max="21" width="16" hidden="1" customWidth="1" outlineLevel="1"/>
    <col min="22" max="22" width="23.75" hidden="1" customWidth="1" outlineLevel="1"/>
    <col min="23" max="23" width="16" hidden="1" customWidth="1" outlineLevel="1"/>
    <col min="24" max="24" width="23.75" hidden="1" customWidth="1" outlineLevel="1"/>
    <col min="25" max="25" width="16" hidden="1" customWidth="1" outlineLevel="1"/>
    <col min="26" max="26" width="23.75" hidden="1" customWidth="1" outlineLevel="1"/>
    <col min="27" max="27" width="16" hidden="1" customWidth="1" outlineLevel="1"/>
    <col min="28" max="28" width="11" hidden="1" customWidth="1" outlineLevel="1"/>
    <col min="29" max="29" width="16" hidden="1" customWidth="1" outlineLevel="1"/>
    <col min="30" max="30" width="17.0833333333333" style="30" customWidth="1"/>
    <col min="31" max="31" width="15.25" style="2" customWidth="1"/>
    <col min="32" max="32" width="11.25" customWidth="1"/>
    <col min="33" max="33" width="14.1944444444444" customWidth="1"/>
  </cols>
  <sheetData>
    <row r="1" ht="16.25" customHeight="1" spans="1:33">
      <c r="A1" s="31" t="s">
        <v>442</v>
      </c>
      <c r="B1" s="31" t="s">
        <v>470</v>
      </c>
      <c r="C1" s="31" t="s">
        <v>471</v>
      </c>
      <c r="D1" s="31" t="s">
        <v>472</v>
      </c>
      <c r="E1" s="31" t="s">
        <v>473</v>
      </c>
      <c r="F1" s="31" t="s">
        <v>474</v>
      </c>
      <c r="G1" s="31" t="s">
        <v>475</v>
      </c>
      <c r="H1" s="31" t="s">
        <v>450</v>
      </c>
      <c r="I1" s="31" t="s">
        <v>361</v>
      </c>
      <c r="J1" s="31" t="s">
        <v>36</v>
      </c>
      <c r="K1" s="31" t="s">
        <v>272</v>
      </c>
      <c r="L1" s="32" t="s">
        <v>448</v>
      </c>
      <c r="M1" s="33" t="s">
        <v>57</v>
      </c>
      <c r="N1" s="33" t="s">
        <v>476</v>
      </c>
      <c r="O1" s="33" t="s">
        <v>444</v>
      </c>
      <c r="P1" s="33" t="s">
        <v>67</v>
      </c>
      <c r="Q1" s="34" t="s">
        <v>445</v>
      </c>
      <c r="R1" s="33" t="s">
        <v>81</v>
      </c>
      <c r="S1" s="34" t="s">
        <v>447</v>
      </c>
      <c r="T1" s="33" t="s">
        <v>104</v>
      </c>
      <c r="U1" s="34" t="s">
        <v>477</v>
      </c>
      <c r="V1" s="33" t="str">
        <f>【1】定价因子!$C$38</f>
        <v>功能配置（开间）</v>
      </c>
      <c r="W1" s="34" t="s">
        <v>478</v>
      </c>
      <c r="X1" s="33" t="str">
        <f>【1】定价因子!$C$51</f>
        <v>功能配置（一居）</v>
      </c>
      <c r="Y1" s="35" t="s">
        <v>479</v>
      </c>
      <c r="Z1" s="33" t="str">
        <f>【1】定价因子!$C$58</f>
        <v>功能配置（二居）</v>
      </c>
      <c r="AA1" s="35" t="s">
        <v>480</v>
      </c>
      <c r="AB1" s="36" t="s">
        <v>118</v>
      </c>
      <c r="AC1" s="34" t="s">
        <v>481</v>
      </c>
      <c r="AD1" s="37" t="s">
        <v>482</v>
      </c>
      <c r="AE1" s="38" t="s">
        <v>483</v>
      </c>
      <c r="AF1" s="39" t="s">
        <v>484</v>
      </c>
      <c r="AG1" t="s">
        <v>485</v>
      </c>
    </row>
    <row r="2" s="27" customFormat="1" ht="17" customHeight="1" spans="1:33">
      <c r="A2" s="40" t="str">
        <f>'【2】运营中心填-基本信息&amp;审核标准'!$E$2</f>
        <v>福围广生1-41栋</v>
      </c>
      <c r="B2" s="40">
        <f>INT(H2/100)</f>
        <v>1</v>
      </c>
      <c r="C2" s="40">
        <f t="shared" ref="C2:C33" si="0">COUNTIF($B$2:$B$20,B2)</f>
        <v>2</v>
      </c>
      <c r="D2" s="40">
        <f t="shared" ref="D2:D33" si="1">COUNTIF(C$2:C$20,C2)</f>
        <v>4</v>
      </c>
      <c r="E2" s="40">
        <f>MAX(D2:D20)</f>
        <v>12</v>
      </c>
      <c r="F2" s="40" t="str">
        <f>IF(D2=$E$2,C2,"")</f>
        <v/>
      </c>
      <c r="G2" s="40">
        <f>MAX(F2:F20)</f>
        <v>4</v>
      </c>
      <c r="H2" s="41">
        <v>101</v>
      </c>
      <c r="I2" s="42" t="s">
        <v>486</v>
      </c>
      <c r="J2" s="42" t="s">
        <v>40</v>
      </c>
      <c r="K2" s="40" t="str">
        <f t="array" ref="K2">IFERROR(INDEX($J$2:$J$20,MATCH(0,IF(ISBLANK($J$2:$J$20),1,COUNTIF($K$1:K1,$J$2:$J$20)),0)),"")</f>
        <v>开间</v>
      </c>
      <c r="L2" s="43">
        <f>VLOOKUP(J2,'【3】大区填-楼栋基准格局定价'!B:J,9,0)</f>
        <v>1238.0928</v>
      </c>
      <c r="M2" s="44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适中</v>
      </c>
      <c r="N2" s="44">
        <v>13.3</v>
      </c>
      <c r="O2" s="40">
        <f>VLOOKUP($M$1&amp;M2,【1】定价因子!E:F,2,0)</f>
        <v>1</v>
      </c>
      <c r="P2" s="40" t="str">
        <f>IF(VLOOKUP(H2,'【3-1】大区填-采光基本要素'!A:E,5,FALSE)=0,"无","有")</f>
        <v>无</v>
      </c>
      <c r="Q2" s="40">
        <f>VLOOKUP($P$1&amp;P2,【1】定价因子!E:F,2,0)</f>
        <v>1</v>
      </c>
      <c r="R2" s="40" t="str">
        <f>IF('【2】运营中心填-基本信息&amp;审核标准'!$D$4="是","无",IF(INT(H2/100)&gt;9,"9F",INT(H2/100)&amp;"F"))</f>
        <v>1F</v>
      </c>
      <c r="S2" s="40">
        <f>VLOOKUP(R2,【1】定价因子!D:F,3,0)</f>
        <v>0.91</v>
      </c>
      <c r="T2" s="40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无</v>
      </c>
      <c r="U2" s="40">
        <f>VLOOKUP($T$1&amp;T2,【1】定价因子!E:F,2,0)</f>
        <v>1</v>
      </c>
      <c r="V2" s="45" t="s">
        <v>63</v>
      </c>
      <c r="W2" s="40">
        <f>VLOOKUP($V$1&amp;V2,【1】定价因子!E:F,2,0)</f>
        <v>1</v>
      </c>
      <c r="X2" s="45" t="s">
        <v>63</v>
      </c>
      <c r="Y2" s="40">
        <f>VLOOKUP($X$1&amp;X2,【1】定价因子!$E:$F,2,0)</f>
        <v>1</v>
      </c>
      <c r="Z2" s="45" t="s">
        <v>63</v>
      </c>
      <c r="AA2" s="40">
        <f>VLOOKUP($Z$1&amp;Z2,【1】定价因子!$E:$F,2,0)</f>
        <v>1</v>
      </c>
      <c r="AB2" s="40" t="str">
        <f>VLOOKUP(H2,'【3-1】大区填-采光基本要素'!A:H,8,0)</f>
        <v>1</v>
      </c>
      <c r="AC2" s="40">
        <f>VLOOKUP($AB$1&amp;AB2,【1】定价因子!$E:$F,2,0)</f>
        <v>0.91</v>
      </c>
      <c r="AD2" s="46">
        <f t="shared" ref="AD2:AD33" si="2">L2*PRODUCT(Y2,AC2,W2,U2,S2,Q2,O2)</f>
        <v>1025.26464768</v>
      </c>
      <c r="AE2" s="47">
        <v>850</v>
      </c>
      <c r="AF2" s="48">
        <f>AE2/AD2-1</f>
        <v>-0.170945763200354</v>
      </c>
      <c r="AG2" s="27">
        <v>938</v>
      </c>
    </row>
    <row r="3" spans="1:33">
      <c r="A3" s="49" t="str">
        <f>'【2】运营中心填-基本信息&amp;审核标准'!$E$2</f>
        <v>福围广生1-41栋</v>
      </c>
      <c r="B3" s="13">
        <f t="shared" ref="B3:B34" si="3">INT(H3/100)</f>
        <v>1</v>
      </c>
      <c r="C3" s="13">
        <f t="shared" si="0"/>
        <v>2</v>
      </c>
      <c r="D3" s="13">
        <f t="shared" si="1"/>
        <v>4</v>
      </c>
      <c r="E3" s="13"/>
      <c r="F3" s="13" t="str">
        <f t="shared" ref="F3:F34" si="4">IF(D3=$E$2,C3,"")</f>
        <v/>
      </c>
      <c r="G3" s="13"/>
      <c r="H3" s="50">
        <v>102</v>
      </c>
      <c r="I3" s="51" t="s">
        <v>487</v>
      </c>
      <c r="J3" s="51" t="s">
        <v>43</v>
      </c>
      <c r="K3" s="13" t="str">
        <f t="array" ref="K3">IFERROR(INDEX($J$2:$J$20,MATCH(0,IF(ISBLANK($J$2:$J$20),1,COUNTIF($K$1:K2,$J$2:$J$20)),0)),"")</f>
        <v>一居室</v>
      </c>
      <c r="L3" s="52">
        <f>VLOOKUP(J3,'【3】大区填-楼栋基准格局定价'!B:J,9,0)</f>
        <v>1845.12</v>
      </c>
      <c r="M3" s="53" t="str">
        <f t="shared" ref="M3:M34" si="5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很狭小</v>
      </c>
      <c r="N3" s="53">
        <v>19.12</v>
      </c>
      <c r="O3" s="54">
        <f>VLOOKUP($M$1&amp;M3,【1】定价因子!E:F,2,0)</f>
        <v>0.9</v>
      </c>
      <c r="P3" s="54" t="str">
        <f>IF(VLOOKUP(H3,'【3-1】大区填-采光基本要素'!A:E,5,FALSE)=0,"无","有")</f>
        <v>无</v>
      </c>
      <c r="Q3" s="54">
        <f>VLOOKUP($P$1&amp;P3,【1】定价因子!E:F,2,0)</f>
        <v>1</v>
      </c>
      <c r="R3" s="54" t="str">
        <f>IF('【2】运营中心填-基本信息&amp;审核标准'!$D$4="是","无",IF(INT(H3/100)&gt;9,"9F",INT(H3/100)&amp;"F"))</f>
        <v>1F</v>
      </c>
      <c r="S3" s="54">
        <f>VLOOKUP(R3,【1】定价因子!D:F,3,0)</f>
        <v>0.91</v>
      </c>
      <c r="T3" s="54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无</v>
      </c>
      <c r="U3" s="54">
        <f>VLOOKUP($T$1&amp;T3,【1】定价因子!E:F,2,0)</f>
        <v>1</v>
      </c>
      <c r="V3" s="55" t="s">
        <v>63</v>
      </c>
      <c r="W3" s="54">
        <f>VLOOKUP($V$1&amp;V3,【1】定价因子!E:F,2,0)</f>
        <v>1</v>
      </c>
      <c r="X3" s="55" t="s">
        <v>63</v>
      </c>
      <c r="Y3" s="54">
        <f>VLOOKUP($X$1&amp;X3,【1】定价因子!$E:$F,2,0)</f>
        <v>1</v>
      </c>
      <c r="Z3" s="55" t="s">
        <v>63</v>
      </c>
      <c r="AA3" s="54">
        <f>VLOOKUP($Z$1&amp;Z3,【1】定价因子!$E:$F,2,0)</f>
        <v>1</v>
      </c>
      <c r="AB3" s="54" t="str">
        <f>VLOOKUP(H3,'【3-1】大区填-采光基本要素'!A:H,8,0)</f>
        <v>1</v>
      </c>
      <c r="AC3" s="54">
        <f>VLOOKUP($AB$1&amp;AB3,【1】定价因子!$E:$F,2,0)</f>
        <v>0.91</v>
      </c>
      <c r="AD3" s="56">
        <f t="shared" si="2"/>
        <v>1375.1494848</v>
      </c>
      <c r="AE3" s="57">
        <v>1407.8</v>
      </c>
      <c r="AF3" s="58">
        <f t="shared" ref="AF3:AF34" si="6">AE3/AD3-1</f>
        <v>0.023743247960238</v>
      </c>
    </row>
    <row r="4" spans="1:33">
      <c r="A4" s="49" t="str">
        <f>'【2】运营中心填-基本信息&amp;审核标准'!$E$2</f>
        <v>福围广生1-41栋</v>
      </c>
      <c r="B4" s="13">
        <f t="shared" si="3"/>
        <v>2</v>
      </c>
      <c r="C4" s="13">
        <f t="shared" si="0"/>
        <v>3</v>
      </c>
      <c r="D4" s="13">
        <f t="shared" si="1"/>
        <v>3</v>
      </c>
      <c r="E4" s="13"/>
      <c r="F4" s="13" t="str">
        <f t="shared" si="4"/>
        <v/>
      </c>
      <c r="G4" s="13"/>
      <c r="H4" s="50">
        <v>201</v>
      </c>
      <c r="I4" s="51" t="s">
        <v>488</v>
      </c>
      <c r="J4" s="51" t="s">
        <v>40</v>
      </c>
      <c r="K4" s="13" t="str">
        <f t="array" ref="K4">IFERROR(INDEX($J$2:$J$20,MATCH(0,IF(ISBLANK($J$2:$J$20),1,COUNTIF($K$1:K3,$J$2:$J$20)),0)),"")</f>
        <v/>
      </c>
      <c r="L4" s="52">
        <f>VLOOKUP(J4,'【3】大区填-楼栋基准格局定价'!B:J,9,0)</f>
        <v>1238.0928</v>
      </c>
      <c r="M4" s="53" t="str">
        <f t="shared" si="5"/>
        <v>适中</v>
      </c>
      <c r="N4" s="53">
        <v>14.72</v>
      </c>
      <c r="O4" s="54">
        <f>VLOOKUP($M$1&amp;M4,【1】定价因子!E:F,2,0)</f>
        <v>1</v>
      </c>
      <c r="P4" s="54" t="str">
        <f>IF(VLOOKUP(H4,'【3-1】大区填-采光基本要素'!A:E,5,FALSE)=0,"无","有")</f>
        <v>无</v>
      </c>
      <c r="Q4" s="54">
        <f>VLOOKUP($P$1&amp;P4,【1】定价因子!E:F,2,0)</f>
        <v>1</v>
      </c>
      <c r="R4" s="54" t="str">
        <f>IF('【2】运营中心填-基本信息&amp;审核标准'!$D$4="是","无",IF(INT(H4/100)&gt;9,"9F",INT(H4/100)&amp;"F"))</f>
        <v>2F</v>
      </c>
      <c r="S4" s="54">
        <f>VLOOKUP(R4,【1】定价因子!D:F,3,0)</f>
        <v>1.02</v>
      </c>
      <c r="T4" s="54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无</v>
      </c>
      <c r="U4" s="54">
        <f>VLOOKUP($T$1&amp;T4,【1】定价因子!E:F,2,0)</f>
        <v>1</v>
      </c>
      <c r="V4" s="55" t="s">
        <v>63</v>
      </c>
      <c r="W4" s="54">
        <f>VLOOKUP($V$1&amp;V4,【1】定价因子!E:F,2,0)</f>
        <v>1</v>
      </c>
      <c r="X4" s="55" t="s">
        <v>63</v>
      </c>
      <c r="Y4" s="54">
        <f>VLOOKUP($X$1&amp;X4,【1】定价因子!$E:$F,2,0)</f>
        <v>1</v>
      </c>
      <c r="Z4" s="55" t="s">
        <v>63</v>
      </c>
      <c r="AA4" s="54">
        <f>VLOOKUP($Z$1&amp;Z4,【1】定价因子!$E:$F,2,0)</f>
        <v>1</v>
      </c>
      <c r="AB4" s="54" t="str">
        <f>VLOOKUP(H4,'【3-1】大区填-采光基本要素'!A:H,8,0)</f>
        <v>1</v>
      </c>
      <c r="AC4" s="54">
        <f>VLOOKUP($AB$1&amp;AB4,【1】定价因子!$E:$F,2,0)</f>
        <v>0.91</v>
      </c>
      <c r="AD4" s="56">
        <f t="shared" si="2"/>
        <v>1149.19773696</v>
      </c>
      <c r="AE4" s="57">
        <v>1137.8</v>
      </c>
      <c r="AF4" s="58">
        <f t="shared" si="6"/>
        <v>-0.00991799460913545</v>
      </c>
    </row>
    <row r="5" spans="1:33">
      <c r="A5" s="49" t="str">
        <f>'【2】运营中心填-基本信息&amp;审核标准'!$E$2</f>
        <v>福围广生1-41栋</v>
      </c>
      <c r="B5" s="13">
        <f t="shared" si="3"/>
        <v>2</v>
      </c>
      <c r="C5" s="13">
        <f t="shared" si="0"/>
        <v>3</v>
      </c>
      <c r="D5" s="13">
        <f t="shared" si="1"/>
        <v>3</v>
      </c>
      <c r="E5" s="13"/>
      <c r="F5" s="13" t="str">
        <f t="shared" si="4"/>
        <v/>
      </c>
      <c r="G5" s="13"/>
      <c r="H5" s="50">
        <v>202</v>
      </c>
      <c r="I5" s="51" t="s">
        <v>489</v>
      </c>
      <c r="J5" s="51" t="s">
        <v>43</v>
      </c>
      <c r="K5" s="13" t="str">
        <f t="array" ref="K5">IFERROR(INDEX($J$2:$J$20,MATCH(0,IF(ISBLANK($J$2:$J$20),1,COUNTIF($K$1:K4,$J$2:$J$20)),0)),"")</f>
        <v/>
      </c>
      <c r="L5" s="52">
        <f>VLOOKUP(J5,'【3】大区填-楼栋基准格局定价'!B:J,9,0)</f>
        <v>1845.12</v>
      </c>
      <c r="M5" s="53" t="str">
        <f t="shared" si="5"/>
        <v>很狭小</v>
      </c>
      <c r="N5" s="53">
        <v>19.74</v>
      </c>
      <c r="O5" s="54">
        <f>VLOOKUP($M$1&amp;M5,【1】定价因子!E:F,2,0)</f>
        <v>0.9</v>
      </c>
      <c r="P5" s="54" t="str">
        <f>IF(VLOOKUP(H5,'【3-1】大区填-采光基本要素'!A:E,5,FALSE)=0,"无","有")</f>
        <v>无</v>
      </c>
      <c r="Q5" s="54">
        <f>VLOOKUP($P$1&amp;P5,【1】定价因子!E:F,2,0)</f>
        <v>1</v>
      </c>
      <c r="R5" s="54" t="str">
        <f>IF('【2】运营中心填-基本信息&amp;审核标准'!$D$4="是","无",IF(INT(H5/100)&gt;9,"9F",INT(H5/100)&amp;"F"))</f>
        <v>2F</v>
      </c>
      <c r="S5" s="54">
        <f>VLOOKUP(R5,【1】定价因子!D:F,3,0)</f>
        <v>1.02</v>
      </c>
      <c r="T5" s="54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无</v>
      </c>
      <c r="U5" s="54">
        <f>VLOOKUP($T$1&amp;T5,【1】定价因子!E:F,2,0)</f>
        <v>1</v>
      </c>
      <c r="V5" s="55" t="s">
        <v>63</v>
      </c>
      <c r="W5" s="54">
        <f>VLOOKUP($V$1&amp;V5,【1】定价因子!E:F,2,0)</f>
        <v>1</v>
      </c>
      <c r="X5" s="55" t="s">
        <v>63</v>
      </c>
      <c r="Y5" s="54">
        <f>VLOOKUP($X$1&amp;X5,【1】定价因子!$E:$F,2,0)</f>
        <v>1</v>
      </c>
      <c r="Z5" s="55" t="s">
        <v>63</v>
      </c>
      <c r="AA5" s="54">
        <f>VLOOKUP($Z$1&amp;Z5,【1】定价因子!$E:$F,2,0)</f>
        <v>1</v>
      </c>
      <c r="AB5" s="54" t="str">
        <f>VLOOKUP(H5,'【3-1】大区填-采光基本要素'!A:H,8,0)</f>
        <v>1</v>
      </c>
      <c r="AC5" s="54">
        <f>VLOOKUP($AB$1&amp;AB5,【1】定价因子!$E:$F,2,0)</f>
        <v>0.91</v>
      </c>
      <c r="AD5" s="56">
        <f t="shared" si="2"/>
        <v>1541.3763456</v>
      </c>
      <c r="AE5" s="57">
        <v>1517.8</v>
      </c>
      <c r="AF5" s="58">
        <f t="shared" si="6"/>
        <v>-0.0152956451338447</v>
      </c>
    </row>
    <row r="6" spans="1:33">
      <c r="A6" s="49" t="str">
        <f>'【2】运营中心填-基本信息&amp;审核标准'!$E$2</f>
        <v>福围广生1-41栋</v>
      </c>
      <c r="B6" s="13">
        <f t="shared" si="3"/>
        <v>2</v>
      </c>
      <c r="C6" s="13">
        <f t="shared" si="0"/>
        <v>3</v>
      </c>
      <c r="D6" s="13">
        <f t="shared" si="1"/>
        <v>3</v>
      </c>
      <c r="E6" s="13"/>
      <c r="F6" s="13" t="str">
        <f t="shared" si="4"/>
        <v/>
      </c>
      <c r="G6" s="13"/>
      <c r="H6" s="50">
        <v>203</v>
      </c>
      <c r="I6" s="51" t="s">
        <v>490</v>
      </c>
      <c r="J6" s="51" t="s">
        <v>43</v>
      </c>
      <c r="K6" s="13" t="str">
        <f t="array" ref="K6">IFERROR(INDEX($J$2:$J$20,MATCH(0,IF(ISBLANK($J$2:$J$20),1,COUNTIF($K$1:K5,$J$2:$J$20)),0)),"")</f>
        <v/>
      </c>
      <c r="L6" s="52">
        <f>VLOOKUP(J6,'【3】大区填-楼栋基准格局定价'!B:J,9,0)</f>
        <v>1845.12</v>
      </c>
      <c r="M6" s="53" t="str">
        <f t="shared" si="5"/>
        <v>适中</v>
      </c>
      <c r="N6" s="53">
        <v>23.35</v>
      </c>
      <c r="O6" s="54">
        <f>VLOOKUP($M$1&amp;M6,【1】定价因子!E:F,2,0)</f>
        <v>1</v>
      </c>
      <c r="P6" s="54" t="str">
        <f>IF(VLOOKUP(H6,'【3-1】大区填-采光基本要素'!A:E,5,FALSE)=0,"无","有")</f>
        <v>有</v>
      </c>
      <c r="Q6" s="54">
        <f>VLOOKUP($P$1&amp;P6,【1】定价因子!E:F,2,0)</f>
        <v>1.07</v>
      </c>
      <c r="R6" s="54" t="str">
        <f>IF('【2】运营中心填-基本信息&amp;审核标准'!$D$4="是","无",IF(INT(H6/100)&gt;9,"9F",INT(H6/100)&amp;"F"))</f>
        <v>2F</v>
      </c>
      <c r="S6" s="54">
        <f>VLOOKUP(R6,【1】定价因子!D:F,3,0)</f>
        <v>1.02</v>
      </c>
      <c r="T6" s="54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无</v>
      </c>
      <c r="U6" s="54">
        <f>VLOOKUP($T$1&amp;T6,【1】定价因子!E:F,2,0)</f>
        <v>1</v>
      </c>
      <c r="V6" s="55" t="s">
        <v>63</v>
      </c>
      <c r="W6" s="54">
        <f>VLOOKUP($V$1&amp;V6,【1】定价因子!E:F,2,0)</f>
        <v>1</v>
      </c>
      <c r="X6" s="55" t="s">
        <v>63</v>
      </c>
      <c r="Y6" s="54">
        <f>VLOOKUP($X$1&amp;X6,【1】定价因子!$E:$F,2,0)</f>
        <v>1</v>
      </c>
      <c r="Z6" s="55" t="s">
        <v>63</v>
      </c>
      <c r="AA6" s="54">
        <f>VLOOKUP($Z$1&amp;Z6,【1】定价因子!$E:$F,2,0)</f>
        <v>1</v>
      </c>
      <c r="AB6" s="54" t="str">
        <f>VLOOKUP(H6,'【3-1】大区填-采光基本要素'!A:H,8,0)</f>
        <v>4</v>
      </c>
      <c r="AC6" s="54">
        <f>VLOOKUP($AB$1&amp;AB6,【1】定价因子!$E:$F,2,0)</f>
        <v>1.03</v>
      </c>
      <c r="AD6" s="56">
        <f t="shared" si="2"/>
        <v>2074.17688704</v>
      </c>
      <c r="AE6" s="57">
        <v>1878</v>
      </c>
      <c r="AF6" s="58">
        <f t="shared" si="6"/>
        <v>-0.0945805964118898</v>
      </c>
    </row>
    <row r="7" s="27" customFormat="1" spans="1:33">
      <c r="A7" s="40" t="str">
        <f>'【2】运营中心填-基本信息&amp;审核标准'!$E$2</f>
        <v>福围广生1-41栋</v>
      </c>
      <c r="B7" s="40">
        <f t="shared" si="3"/>
        <v>3</v>
      </c>
      <c r="C7" s="40">
        <f t="shared" si="0"/>
        <v>4</v>
      </c>
      <c r="D7" s="40">
        <f t="shared" si="1"/>
        <v>12</v>
      </c>
      <c r="E7" s="40"/>
      <c r="F7" s="40">
        <f t="shared" si="4"/>
        <v>4</v>
      </c>
      <c r="G7" s="40"/>
      <c r="H7" s="41">
        <v>301</v>
      </c>
      <c r="I7" s="42" t="s">
        <v>491</v>
      </c>
      <c r="J7" s="42" t="s">
        <v>40</v>
      </c>
      <c r="K7" s="40" t="str">
        <f t="array" ref="K7">IFERROR(INDEX($J$2:$J$20,MATCH(0,IF(ISBLANK($J$2:$J$20),1,COUNTIF($K$1:K6,$J$2:$J$20)),0)),"")</f>
        <v/>
      </c>
      <c r="L7" s="43">
        <f>VLOOKUP(J7,'【3】大区填-楼栋基准格局定价'!B:J,9,0)</f>
        <v>1238.0928</v>
      </c>
      <c r="M7" s="44" t="str">
        <f t="shared" si="5"/>
        <v>适中</v>
      </c>
      <c r="N7" s="44">
        <v>13.12</v>
      </c>
      <c r="O7" s="40">
        <f>VLOOKUP($M$1&amp;M7,【1】定价因子!E:F,2,0)</f>
        <v>1</v>
      </c>
      <c r="P7" s="40" t="str">
        <f>IF(VLOOKUP(H7,'【3-1】大区填-采光基本要素'!A:E,5,FALSE)=0,"无","有")</f>
        <v>无</v>
      </c>
      <c r="Q7" s="40">
        <f>VLOOKUP($P$1&amp;P7,【1】定价因子!E:F,2,0)</f>
        <v>1</v>
      </c>
      <c r="R7" s="40" t="str">
        <f>IF('【2】运营中心填-基本信息&amp;审核标准'!$D$4="是","无",IF(INT(H7/100)&gt;9,"9F",INT(H7/100)&amp;"F"))</f>
        <v>3F</v>
      </c>
      <c r="S7" s="40">
        <f>VLOOKUP(R7,【1】定价因子!D:F,3,0)</f>
        <v>1.01</v>
      </c>
      <c r="T7" s="40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无</v>
      </c>
      <c r="U7" s="40">
        <f>VLOOKUP($T$1&amp;T7,【1】定价因子!E:F,2,0)</f>
        <v>1</v>
      </c>
      <c r="V7" s="45" t="s">
        <v>63</v>
      </c>
      <c r="W7" s="40">
        <f>VLOOKUP($V$1&amp;V7,【1】定价因子!E:F,2,0)</f>
        <v>1</v>
      </c>
      <c r="X7" s="45" t="s">
        <v>63</v>
      </c>
      <c r="Y7" s="40">
        <f>VLOOKUP($X$1&amp;X7,【1】定价因子!$E:$F,2,0)</f>
        <v>1</v>
      </c>
      <c r="Z7" s="45" t="s">
        <v>63</v>
      </c>
      <c r="AA7" s="40">
        <f>VLOOKUP($Z$1&amp;Z7,【1】定价因子!$E:$F,2,0)</f>
        <v>1</v>
      </c>
      <c r="AB7" s="40" t="str">
        <f>VLOOKUP(H7,'【3-1】大区填-采光基本要素'!A:H,8,0)</f>
        <v>1</v>
      </c>
      <c r="AC7" s="40">
        <f>VLOOKUP($AB$1&amp;AB7,【1】定价因子!$E:$F,2,0)</f>
        <v>0.91</v>
      </c>
      <c r="AD7" s="46">
        <f t="shared" si="2"/>
        <v>1137.93109248</v>
      </c>
      <c r="AE7" s="47">
        <v>1150</v>
      </c>
      <c r="AF7" s="48">
        <f t="shared" si="6"/>
        <v>0.0106060090982285</v>
      </c>
      <c r="AG7" s="27">
        <v>1238</v>
      </c>
    </row>
    <row r="8" spans="1:33">
      <c r="A8" s="49" t="str">
        <f>'【2】运营中心填-基本信息&amp;审核标准'!$E$2</f>
        <v>福围广生1-41栋</v>
      </c>
      <c r="B8" s="13">
        <f t="shared" si="3"/>
        <v>3</v>
      </c>
      <c r="C8" s="13">
        <f t="shared" si="0"/>
        <v>4</v>
      </c>
      <c r="D8" s="13">
        <f t="shared" si="1"/>
        <v>12</v>
      </c>
      <c r="E8" s="13"/>
      <c r="F8" s="13">
        <f t="shared" si="4"/>
        <v>4</v>
      </c>
      <c r="G8" s="13"/>
      <c r="H8" s="50">
        <v>302</v>
      </c>
      <c r="I8" s="51" t="s">
        <v>492</v>
      </c>
      <c r="J8" s="51" t="s">
        <v>43</v>
      </c>
      <c r="K8" s="13" t="str">
        <f t="array" ref="K8">IFERROR(INDEX($J$2:$J$20,MATCH(0,IF(ISBLANK($J$2:$J$20),1,COUNTIF($K$1:K7,$J$2:$J$20)),0)),"")</f>
        <v/>
      </c>
      <c r="L8" s="52">
        <f>VLOOKUP(J8,'【3】大区填-楼栋基准格局定价'!B:J,9,0)</f>
        <v>1845.12</v>
      </c>
      <c r="M8" s="53" t="str">
        <f t="shared" si="5"/>
        <v>较狭小</v>
      </c>
      <c r="N8" s="53">
        <v>22.5</v>
      </c>
      <c r="O8" s="54">
        <f>VLOOKUP($M$1&amp;M8,【1】定价因子!E:F,2,0)</f>
        <v>0.95</v>
      </c>
      <c r="P8" s="54" t="str">
        <f>IF(VLOOKUP(H8,'【3-1】大区填-采光基本要素'!A:E,5,FALSE)=0,"无","有")</f>
        <v>有</v>
      </c>
      <c r="Q8" s="54">
        <f>VLOOKUP($P$1&amp;P8,【1】定价因子!E:F,2,0)</f>
        <v>1.07</v>
      </c>
      <c r="R8" s="54" t="str">
        <f>IF('【2】运营中心填-基本信息&amp;审核标准'!$D$4="是","无",IF(INT(H8/100)&gt;9,"9F",INT(H8/100)&amp;"F"))</f>
        <v>3F</v>
      </c>
      <c r="S8" s="54">
        <f>VLOOKUP(R8,【1】定价因子!D:F,3,0)</f>
        <v>1.01</v>
      </c>
      <c r="T8" s="54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无</v>
      </c>
      <c r="U8" s="54">
        <f>VLOOKUP($T$1&amp;T8,【1】定价因子!E:F,2,0)</f>
        <v>1</v>
      </c>
      <c r="V8" s="55" t="s">
        <v>63</v>
      </c>
      <c r="W8" s="54">
        <f>VLOOKUP($V$1&amp;V8,【1】定价因子!E:F,2,0)</f>
        <v>1</v>
      </c>
      <c r="X8" s="55" t="s">
        <v>63</v>
      </c>
      <c r="Y8" s="54">
        <f>VLOOKUP($X$1&amp;X8,【1】定价因子!$E:$F,2,0)</f>
        <v>1</v>
      </c>
      <c r="Z8" s="55" t="s">
        <v>63</v>
      </c>
      <c r="AA8" s="54">
        <f>VLOOKUP($Z$1&amp;Z8,【1】定价因子!$E:$F,2,0)</f>
        <v>1</v>
      </c>
      <c r="AB8" s="54" t="str">
        <f>VLOOKUP(H8,'【3-1】大区填-采光基本要素'!A:H,8,0)</f>
        <v>3</v>
      </c>
      <c r="AC8" s="54">
        <f>VLOOKUP($AB$1&amp;AB8,【1】定价因子!$E:$F,2,0)</f>
        <v>1</v>
      </c>
      <c r="AD8" s="56">
        <f t="shared" si="2"/>
        <v>1894.3201248</v>
      </c>
      <c r="AE8" s="57">
        <v>1837.8</v>
      </c>
      <c r="AF8" s="58">
        <f t="shared" si="6"/>
        <v>-0.0298366279595785</v>
      </c>
    </row>
    <row r="9" spans="1:33">
      <c r="A9" s="49" t="str">
        <f>'【2】运营中心填-基本信息&amp;审核标准'!$E$2</f>
        <v>福围广生1-41栋</v>
      </c>
      <c r="B9" s="13">
        <f t="shared" si="3"/>
        <v>3</v>
      </c>
      <c r="C9" s="13">
        <f t="shared" si="0"/>
        <v>4</v>
      </c>
      <c r="D9" s="13">
        <f t="shared" si="1"/>
        <v>12</v>
      </c>
      <c r="E9" s="13"/>
      <c r="F9" s="13">
        <f t="shared" si="4"/>
        <v>4</v>
      </c>
      <c r="G9" s="13"/>
      <c r="H9" s="50">
        <v>303</v>
      </c>
      <c r="I9" s="51" t="s">
        <v>492</v>
      </c>
      <c r="J9" s="51" t="s">
        <v>43</v>
      </c>
      <c r="K9" s="13" t="str">
        <f t="array" ref="K9">IFERROR(INDEX($J$2:$J$20,MATCH(0,IF(ISBLANK($J$2:$J$20),1,COUNTIF($K$1:K8,$J$2:$J$20)),0)),"")</f>
        <v/>
      </c>
      <c r="L9" s="52">
        <f>VLOOKUP(J9,'【3】大区填-楼栋基准格局定价'!B:J,9,0)</f>
        <v>1845.12</v>
      </c>
      <c r="M9" s="53" t="str">
        <f t="shared" si="5"/>
        <v>适中</v>
      </c>
      <c r="N9" s="53">
        <v>23.22</v>
      </c>
      <c r="O9" s="54">
        <f>VLOOKUP($M$1&amp;M9,【1】定价因子!E:F,2,0)</f>
        <v>1</v>
      </c>
      <c r="P9" s="54" t="str">
        <f>IF(VLOOKUP(H9,'【3-1】大区填-采光基本要素'!A:E,5,FALSE)=0,"无","有")</f>
        <v>有</v>
      </c>
      <c r="Q9" s="54">
        <f>VLOOKUP($P$1&amp;P9,【1】定价因子!E:F,2,0)</f>
        <v>1.07</v>
      </c>
      <c r="R9" s="54" t="str">
        <f>IF('【2】运营中心填-基本信息&amp;审核标准'!$D$4="是","无",IF(INT(H9/100)&gt;9,"9F",INT(H9/100)&amp;"F"))</f>
        <v>3F</v>
      </c>
      <c r="S9" s="54">
        <f>VLOOKUP(R9,【1】定价因子!D:F,3,0)</f>
        <v>1.01</v>
      </c>
      <c r="T9" s="54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无</v>
      </c>
      <c r="U9" s="54">
        <f>VLOOKUP($T$1&amp;T9,【1】定价因子!E:F,2,0)</f>
        <v>1</v>
      </c>
      <c r="V9" s="55" t="s">
        <v>63</v>
      </c>
      <c r="W9" s="54">
        <f>VLOOKUP($V$1&amp;V9,【1】定价因子!E:F,2,0)</f>
        <v>1</v>
      </c>
      <c r="X9" s="55" t="s">
        <v>63</v>
      </c>
      <c r="Y9" s="54">
        <f>VLOOKUP($X$1&amp;X9,【1】定价因子!$E:$F,2,0)</f>
        <v>1</v>
      </c>
      <c r="Z9" s="55" t="s">
        <v>63</v>
      </c>
      <c r="AA9" s="54">
        <f>VLOOKUP($Z$1&amp;Z9,【1】定价因子!$E:$F,2,0)</f>
        <v>1</v>
      </c>
      <c r="AB9" s="54" t="str">
        <f>VLOOKUP(H9,'【3-1】大区填-采光基本要素'!A:H,8,0)</f>
        <v>4</v>
      </c>
      <c r="AC9" s="54">
        <f>VLOOKUP($AB$1&amp;AB9,【1】定价因子!$E:$F,2,0)</f>
        <v>1.03</v>
      </c>
      <c r="AD9" s="56">
        <f t="shared" si="2"/>
        <v>2053.84181952</v>
      </c>
      <c r="AE9" s="57">
        <v>1868</v>
      </c>
      <c r="AF9" s="58">
        <f t="shared" si="6"/>
        <v>-0.0904849719943053</v>
      </c>
    </row>
    <row r="10" spans="1:33">
      <c r="A10" s="49" t="str">
        <f>'【2】运营中心填-基本信息&amp;审核标准'!$E$2</f>
        <v>福围广生1-41栋</v>
      </c>
      <c r="B10" s="13">
        <f t="shared" si="3"/>
        <v>3</v>
      </c>
      <c r="C10" s="13">
        <f t="shared" si="0"/>
        <v>4</v>
      </c>
      <c r="D10" s="13">
        <f t="shared" si="1"/>
        <v>12</v>
      </c>
      <c r="E10" s="13"/>
      <c r="F10" s="13">
        <f t="shared" si="4"/>
        <v>4</v>
      </c>
      <c r="G10" s="13"/>
      <c r="H10" s="50">
        <v>304</v>
      </c>
      <c r="I10" s="51" t="s">
        <v>491</v>
      </c>
      <c r="J10" s="51" t="s">
        <v>40</v>
      </c>
      <c r="K10" s="13" t="str">
        <f t="array" ref="K10">IFERROR(INDEX($J$2:$J$20,MATCH(0,IF(ISBLANK($J$2:$J$20),1,COUNTIF($K$1:K9,$J$2:$J$20)),0)),"")</f>
        <v/>
      </c>
      <c r="L10" s="52">
        <f>VLOOKUP(J10,'【3】大区填-楼栋基准格局定价'!B:J,9,0)</f>
        <v>1238.0928</v>
      </c>
      <c r="M10" s="53" t="str">
        <f t="shared" si="5"/>
        <v>适中</v>
      </c>
      <c r="N10" s="53">
        <v>13.35</v>
      </c>
      <c r="O10" s="54">
        <f>VLOOKUP($M$1&amp;M10,【1】定价因子!E:F,2,0)</f>
        <v>1</v>
      </c>
      <c r="P10" s="54" t="str">
        <f>IF(VLOOKUP(H10,'【3-1】大区填-采光基本要素'!A:E,5,FALSE)=0,"无","有")</f>
        <v>无</v>
      </c>
      <c r="Q10" s="54">
        <f>VLOOKUP($P$1&amp;P10,【1】定价因子!E:F,2,0)</f>
        <v>1</v>
      </c>
      <c r="R10" s="54" t="str">
        <f>IF('【2】运营中心填-基本信息&amp;审核标准'!$D$4="是","无",IF(INT(H10/100)&gt;9,"9F",INT(H10/100)&amp;"F"))</f>
        <v>3F</v>
      </c>
      <c r="S10" s="54">
        <f>VLOOKUP(R10,【1】定价因子!D:F,3,0)</f>
        <v>1.01</v>
      </c>
      <c r="T10" s="54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无</v>
      </c>
      <c r="U10" s="54">
        <f>VLOOKUP($T$1&amp;T10,【1】定价因子!E:F,2,0)</f>
        <v>1</v>
      </c>
      <c r="V10" s="55" t="s">
        <v>63</v>
      </c>
      <c r="W10" s="54">
        <f>VLOOKUP($V$1&amp;V10,【1】定价因子!E:F,2,0)</f>
        <v>1</v>
      </c>
      <c r="X10" s="55" t="s">
        <v>63</v>
      </c>
      <c r="Y10" s="54">
        <f>VLOOKUP($X$1&amp;X10,【1】定价因子!$E:$F,2,0)</f>
        <v>1</v>
      </c>
      <c r="Z10" s="55" t="s">
        <v>63</v>
      </c>
      <c r="AA10" s="54">
        <f>VLOOKUP($Z$1&amp;Z10,【1】定价因子!$E:$F,2,0)</f>
        <v>1</v>
      </c>
      <c r="AB10" s="54" t="str">
        <f>VLOOKUP(H10,'【3-1】大区填-采光基本要素'!A:H,8,0)</f>
        <v>3</v>
      </c>
      <c r="AC10" s="54">
        <f>VLOOKUP($AB$1&amp;AB10,【1】定价因子!$E:$F,2,0)</f>
        <v>1</v>
      </c>
      <c r="AD10" s="56">
        <f t="shared" si="2"/>
        <v>1250.473728</v>
      </c>
      <c r="AE10" s="57">
        <v>1337.8</v>
      </c>
      <c r="AF10" s="58">
        <f t="shared" si="6"/>
        <v>0.0698345515340568</v>
      </c>
    </row>
    <row r="11" s="27" customFormat="1" spans="1:33">
      <c r="A11" s="40" t="str">
        <f>'【2】运营中心填-基本信息&amp;审核标准'!$E$2</f>
        <v>福围广生1-41栋</v>
      </c>
      <c r="B11" s="40">
        <f t="shared" si="3"/>
        <v>4</v>
      </c>
      <c r="C11" s="40">
        <f t="shared" si="0"/>
        <v>4</v>
      </c>
      <c r="D11" s="40">
        <f t="shared" si="1"/>
        <v>12</v>
      </c>
      <c r="E11" s="40"/>
      <c r="F11" s="40">
        <f t="shared" si="4"/>
        <v>4</v>
      </c>
      <c r="G11" s="40"/>
      <c r="H11" s="41">
        <v>401</v>
      </c>
      <c r="I11" s="42" t="s">
        <v>491</v>
      </c>
      <c r="J11" s="42" t="s">
        <v>40</v>
      </c>
      <c r="K11" s="40"/>
      <c r="L11" s="43">
        <f>VLOOKUP(J11,'【3】大区填-楼栋基准格局定价'!B:J,9,0)</f>
        <v>1238.0928</v>
      </c>
      <c r="M11" s="44" t="str">
        <f t="shared" si="5"/>
        <v>适中</v>
      </c>
      <c r="N11" s="44">
        <v>13.12</v>
      </c>
      <c r="O11" s="40">
        <f>VLOOKUP($M$1&amp;M11,【1】定价因子!E:F,2,0)</f>
        <v>1</v>
      </c>
      <c r="P11" s="40" t="str">
        <f>IF(VLOOKUP(H11,'【3-1】大区填-采光基本要素'!A:E,5,FALSE)=0,"无","有")</f>
        <v>无</v>
      </c>
      <c r="Q11" s="40">
        <f>VLOOKUP($P$1&amp;P11,【1】定价因子!E:F,2,0)</f>
        <v>1</v>
      </c>
      <c r="R11" s="40" t="str">
        <f>IF('【2】运营中心填-基本信息&amp;审核标准'!$D$4="是","无",IF(INT(H11/100)&gt;9,"9F",INT(H11/100)&amp;"F"))</f>
        <v>4F</v>
      </c>
      <c r="S11" s="40">
        <f>VLOOKUP(R11,【1】定价因子!D:F,3,0)</f>
        <v>1</v>
      </c>
      <c r="T11" s="40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无</v>
      </c>
      <c r="U11" s="40">
        <f>VLOOKUP($T$1&amp;T11,【1】定价因子!E:F,2,0)</f>
        <v>1</v>
      </c>
      <c r="V11" s="45" t="s">
        <v>63</v>
      </c>
      <c r="W11" s="40">
        <f>VLOOKUP($V$1&amp;V11,【1】定价因子!E:F,2,0)</f>
        <v>1</v>
      </c>
      <c r="X11" s="45" t="s">
        <v>63</v>
      </c>
      <c r="Y11" s="40">
        <f>VLOOKUP($X$1&amp;X11,【1】定价因子!$E:$F,2,0)</f>
        <v>1</v>
      </c>
      <c r="Z11" s="45" t="s">
        <v>63</v>
      </c>
      <c r="AA11" s="40">
        <f>VLOOKUP($Z$1&amp;Z11,【1】定价因子!$E:$F,2,0)</f>
        <v>1</v>
      </c>
      <c r="AB11" s="40" t="str">
        <f>VLOOKUP(H11,'【3-1】大区填-采光基本要素'!A:H,8,0)</f>
        <v>1</v>
      </c>
      <c r="AC11" s="40">
        <f>VLOOKUP($AB$1&amp;AB11,【1】定价因子!$E:$F,2,0)</f>
        <v>0.91</v>
      </c>
      <c r="AD11" s="46">
        <f t="shared" si="2"/>
        <v>1126.664448</v>
      </c>
      <c r="AE11" s="47">
        <v>1150</v>
      </c>
      <c r="AF11" s="48">
        <f t="shared" si="6"/>
        <v>0.0207120691892109</v>
      </c>
      <c r="AG11" s="27">
        <v>1238</v>
      </c>
    </row>
    <row r="12" spans="1:33">
      <c r="A12" s="49" t="str">
        <f>'【2】运营中心填-基本信息&amp;审核标准'!$E$2</f>
        <v>福围广生1-41栋</v>
      </c>
      <c r="B12" s="13">
        <f t="shared" si="3"/>
        <v>4</v>
      </c>
      <c r="C12" s="13">
        <f t="shared" si="0"/>
        <v>4</v>
      </c>
      <c r="D12" s="13">
        <f t="shared" si="1"/>
        <v>12</v>
      </c>
      <c r="E12" s="13"/>
      <c r="F12" s="13">
        <f t="shared" si="4"/>
        <v>4</v>
      </c>
      <c r="G12" s="13"/>
      <c r="H12" s="50">
        <v>402</v>
      </c>
      <c r="I12" s="51" t="s">
        <v>492</v>
      </c>
      <c r="J12" s="51" t="s">
        <v>43</v>
      </c>
      <c r="K12" s="13"/>
      <c r="L12" s="52">
        <f>VLOOKUP(J12,'【3】大区填-楼栋基准格局定价'!B:J,9,0)</f>
        <v>1845.12</v>
      </c>
      <c r="M12" s="53" t="str">
        <f t="shared" si="5"/>
        <v>较狭小</v>
      </c>
      <c r="N12" s="53">
        <v>22.5</v>
      </c>
      <c r="O12" s="54">
        <f>VLOOKUP($M$1&amp;M12,【1】定价因子!E:F,2,0)</f>
        <v>0.95</v>
      </c>
      <c r="P12" s="54" t="str">
        <f>IF(VLOOKUP(H12,'【3-1】大区填-采光基本要素'!A:E,5,FALSE)=0,"无","有")</f>
        <v>有</v>
      </c>
      <c r="Q12" s="54">
        <f>VLOOKUP($P$1&amp;P12,【1】定价因子!E:F,2,0)</f>
        <v>1.07</v>
      </c>
      <c r="R12" s="54" t="str">
        <f>IF('【2】运营中心填-基本信息&amp;审核标准'!$D$4="是","无",IF(INT(H12/100)&gt;9,"9F",INT(H12/100)&amp;"F"))</f>
        <v>4F</v>
      </c>
      <c r="S12" s="54">
        <f>VLOOKUP(R12,【1】定价因子!D:F,3,0)</f>
        <v>1</v>
      </c>
      <c r="T12" s="54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无</v>
      </c>
      <c r="U12" s="54">
        <f>VLOOKUP($T$1&amp;T12,【1】定价因子!E:F,2,0)</f>
        <v>1</v>
      </c>
      <c r="V12" s="55" t="s">
        <v>63</v>
      </c>
      <c r="W12" s="54">
        <f>VLOOKUP($V$1&amp;V12,【1】定价因子!E:F,2,0)</f>
        <v>1</v>
      </c>
      <c r="X12" s="55" t="s">
        <v>63</v>
      </c>
      <c r="Y12" s="54">
        <f>VLOOKUP($X$1&amp;X12,【1】定价因子!$E:$F,2,0)</f>
        <v>1</v>
      </c>
      <c r="Z12" s="55" t="s">
        <v>63</v>
      </c>
      <c r="AA12" s="54">
        <f>VLOOKUP($Z$1&amp;Z12,【1】定价因子!$E:$F,2,0)</f>
        <v>1</v>
      </c>
      <c r="AB12" s="54" t="str">
        <f>VLOOKUP(H12,'【3-1】大区填-采光基本要素'!A:H,8,0)</f>
        <v>3</v>
      </c>
      <c r="AC12" s="54">
        <f>VLOOKUP($AB$1&amp;AB12,【1】定价因子!$E:$F,2,0)</f>
        <v>1</v>
      </c>
      <c r="AD12" s="56">
        <f t="shared" si="2"/>
        <v>1875.56448</v>
      </c>
      <c r="AE12" s="57">
        <v>1837.8</v>
      </c>
      <c r="AF12" s="58">
        <f t="shared" si="6"/>
        <v>-0.0201349942391743</v>
      </c>
    </row>
    <row r="13" spans="1:33">
      <c r="A13" s="49" t="str">
        <f>'【2】运营中心填-基本信息&amp;审核标准'!$E$2</f>
        <v>福围广生1-41栋</v>
      </c>
      <c r="B13" s="13">
        <f t="shared" si="3"/>
        <v>4</v>
      </c>
      <c r="C13" s="13">
        <f t="shared" si="0"/>
        <v>4</v>
      </c>
      <c r="D13" s="13">
        <f t="shared" si="1"/>
        <v>12</v>
      </c>
      <c r="E13" s="13"/>
      <c r="F13" s="13">
        <f t="shared" si="4"/>
        <v>4</v>
      </c>
      <c r="G13" s="13"/>
      <c r="H13" s="50">
        <v>403</v>
      </c>
      <c r="I13" s="51" t="s">
        <v>492</v>
      </c>
      <c r="J13" s="51" t="s">
        <v>43</v>
      </c>
      <c r="K13" s="13"/>
      <c r="L13" s="52">
        <f>VLOOKUP(J13,'【3】大区填-楼栋基准格局定价'!B:J,9,0)</f>
        <v>1845.12</v>
      </c>
      <c r="M13" s="53" t="str">
        <f t="shared" si="5"/>
        <v>适中</v>
      </c>
      <c r="N13" s="53">
        <v>23.22</v>
      </c>
      <c r="O13" s="54">
        <f>VLOOKUP($M$1&amp;M13,【1】定价因子!E:F,2,0)</f>
        <v>1</v>
      </c>
      <c r="P13" s="54" t="str">
        <f>IF(VLOOKUP(H13,'【3-1】大区填-采光基本要素'!A:E,5,FALSE)=0,"无","有")</f>
        <v>有</v>
      </c>
      <c r="Q13" s="54">
        <f>VLOOKUP($P$1&amp;P13,【1】定价因子!E:F,2,0)</f>
        <v>1.07</v>
      </c>
      <c r="R13" s="54" t="str">
        <f>IF('【2】运营中心填-基本信息&amp;审核标准'!$D$4="是","无",IF(INT(H13/100)&gt;9,"9F",INT(H13/100)&amp;"F"))</f>
        <v>4F</v>
      </c>
      <c r="S13" s="54">
        <f>VLOOKUP(R13,【1】定价因子!D:F,3,0)</f>
        <v>1</v>
      </c>
      <c r="T13" s="54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无</v>
      </c>
      <c r="U13" s="54">
        <f>VLOOKUP($T$1&amp;T13,【1】定价因子!E:F,2,0)</f>
        <v>1</v>
      </c>
      <c r="V13" s="55" t="s">
        <v>63</v>
      </c>
      <c r="W13" s="54">
        <f>VLOOKUP($V$1&amp;V13,【1】定价因子!E:F,2,0)</f>
        <v>1</v>
      </c>
      <c r="X13" s="55" t="s">
        <v>63</v>
      </c>
      <c r="Y13" s="54">
        <f>VLOOKUP($X$1&amp;X13,【1】定价因子!$E:$F,2,0)</f>
        <v>1</v>
      </c>
      <c r="Z13" s="55" t="s">
        <v>63</v>
      </c>
      <c r="AA13" s="54">
        <f>VLOOKUP($Z$1&amp;Z13,【1】定价因子!$E:$F,2,0)</f>
        <v>1</v>
      </c>
      <c r="AB13" s="54" t="str">
        <f>VLOOKUP(H13,'【3-1】大区填-采光基本要素'!A:H,8,0)</f>
        <v>4</v>
      </c>
      <c r="AC13" s="54">
        <f>VLOOKUP($AB$1&amp;AB13,【1】定价因子!$E:$F,2,0)</f>
        <v>1.03</v>
      </c>
      <c r="AD13" s="56">
        <f t="shared" si="2"/>
        <v>2033.506752</v>
      </c>
      <c r="AE13" s="57">
        <v>1868</v>
      </c>
      <c r="AF13" s="58">
        <f t="shared" si="6"/>
        <v>-0.0813898217142482</v>
      </c>
    </row>
    <row r="14" s="27" customFormat="1" spans="1:33">
      <c r="A14" s="40" t="str">
        <f>'【2】运营中心填-基本信息&amp;审核标准'!$E$2</f>
        <v>福围广生1-41栋</v>
      </c>
      <c r="B14" s="40">
        <f t="shared" si="3"/>
        <v>4</v>
      </c>
      <c r="C14" s="40">
        <f t="shared" si="0"/>
        <v>4</v>
      </c>
      <c r="D14" s="40">
        <f t="shared" si="1"/>
        <v>12</v>
      </c>
      <c r="E14" s="40"/>
      <c r="F14" s="40">
        <f t="shared" si="4"/>
        <v>4</v>
      </c>
      <c r="G14" s="40"/>
      <c r="H14" s="41">
        <v>404</v>
      </c>
      <c r="I14" s="42" t="s">
        <v>491</v>
      </c>
      <c r="J14" s="42" t="s">
        <v>40</v>
      </c>
      <c r="K14" s="40"/>
      <c r="L14" s="43">
        <f>VLOOKUP(J14,'【3】大区填-楼栋基准格局定价'!B:J,9,0)</f>
        <v>1238.0928</v>
      </c>
      <c r="M14" s="44" t="str">
        <f t="shared" si="5"/>
        <v>适中</v>
      </c>
      <c r="N14" s="44">
        <v>13.35</v>
      </c>
      <c r="O14" s="40">
        <f>VLOOKUP($M$1&amp;M14,【1】定价因子!E:F,2,0)</f>
        <v>1</v>
      </c>
      <c r="P14" s="40" t="str">
        <f>IF(VLOOKUP(H14,'【3-1】大区填-采光基本要素'!A:E,5,FALSE)=0,"无","有")</f>
        <v>无</v>
      </c>
      <c r="Q14" s="40">
        <f>VLOOKUP($P$1&amp;P14,【1】定价因子!E:F,2,0)</f>
        <v>1</v>
      </c>
      <c r="R14" s="40" t="str">
        <f>IF('【2】运营中心填-基本信息&amp;审核标准'!$D$4="是","无",IF(INT(H14/100)&gt;9,"9F",INT(H14/100)&amp;"F"))</f>
        <v>4F</v>
      </c>
      <c r="S14" s="40">
        <f>VLOOKUP(R14,【1】定价因子!D:F,3,0)</f>
        <v>1</v>
      </c>
      <c r="T14" s="40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无</v>
      </c>
      <c r="U14" s="40">
        <f>VLOOKUP($T$1&amp;T14,【1】定价因子!E:F,2,0)</f>
        <v>1</v>
      </c>
      <c r="V14" s="45" t="s">
        <v>63</v>
      </c>
      <c r="W14" s="40">
        <f>VLOOKUP($V$1&amp;V14,【1】定价因子!E:F,2,0)</f>
        <v>1</v>
      </c>
      <c r="X14" s="45" t="s">
        <v>63</v>
      </c>
      <c r="Y14" s="40">
        <f>VLOOKUP($X$1&amp;X14,【1】定价因子!$E:$F,2,0)</f>
        <v>1</v>
      </c>
      <c r="Z14" s="45" t="s">
        <v>63</v>
      </c>
      <c r="AA14" s="40">
        <f>VLOOKUP($Z$1&amp;Z14,【1】定价因子!$E:$F,2,0)</f>
        <v>1</v>
      </c>
      <c r="AB14" s="40" t="str">
        <f>VLOOKUP(H14,'【3-1】大区填-采光基本要素'!A:H,8,0)</f>
        <v>3</v>
      </c>
      <c r="AC14" s="40">
        <f>VLOOKUP($AB$1&amp;AB14,【1】定价因子!$E:$F,2,0)</f>
        <v>1</v>
      </c>
      <c r="AD14" s="46">
        <f t="shared" si="2"/>
        <v>1238.0928</v>
      </c>
      <c r="AE14" s="47">
        <v>1250</v>
      </c>
      <c r="AF14" s="48">
        <f t="shared" si="6"/>
        <v>0.00961737278498043</v>
      </c>
      <c r="AG14" s="27">
        <v>1338</v>
      </c>
    </row>
    <row r="15" s="27" customFormat="1" spans="1:33">
      <c r="A15" s="40" t="str">
        <f>'【2】运营中心填-基本信息&amp;审核标准'!$E$2</f>
        <v>福围广生1-41栋</v>
      </c>
      <c r="B15" s="40">
        <f t="shared" si="3"/>
        <v>5</v>
      </c>
      <c r="C15" s="40">
        <f t="shared" si="0"/>
        <v>4</v>
      </c>
      <c r="D15" s="40">
        <f t="shared" si="1"/>
        <v>12</v>
      </c>
      <c r="E15" s="40"/>
      <c r="F15" s="40">
        <f t="shared" si="4"/>
        <v>4</v>
      </c>
      <c r="G15" s="40"/>
      <c r="H15" s="41">
        <v>501</v>
      </c>
      <c r="I15" s="42" t="s">
        <v>491</v>
      </c>
      <c r="J15" s="42" t="s">
        <v>40</v>
      </c>
      <c r="K15" s="40"/>
      <c r="L15" s="43">
        <f>VLOOKUP(J15,'【3】大区填-楼栋基准格局定价'!B:J,9,0)</f>
        <v>1238.0928</v>
      </c>
      <c r="M15" s="44" t="str">
        <f t="shared" si="5"/>
        <v>适中</v>
      </c>
      <c r="N15" s="44">
        <v>13.12</v>
      </c>
      <c r="O15" s="40">
        <f>VLOOKUP($M$1&amp;M15,【1】定价因子!E:F,2,0)</f>
        <v>1</v>
      </c>
      <c r="P15" s="40" t="str">
        <f>IF(VLOOKUP(H15,'【3-1】大区填-采光基本要素'!A:E,5,FALSE)=0,"无","有")</f>
        <v>无</v>
      </c>
      <c r="Q15" s="40">
        <f>VLOOKUP($P$1&amp;P15,【1】定价因子!E:F,2,0)</f>
        <v>1</v>
      </c>
      <c r="R15" s="40" t="str">
        <f>IF('【2】运营中心填-基本信息&amp;审核标准'!$D$4="是","无",IF(INT(H15/100)&gt;9,"9F",INT(H15/100)&amp;"F"))</f>
        <v>5F</v>
      </c>
      <c r="S15" s="40">
        <f>VLOOKUP(R15,【1】定价因子!D:F,3,0)</f>
        <v>0.99</v>
      </c>
      <c r="T15" s="40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无</v>
      </c>
      <c r="U15" s="40">
        <f>VLOOKUP($T$1&amp;T15,【1】定价因子!E:F,2,0)</f>
        <v>1</v>
      </c>
      <c r="V15" s="45" t="s">
        <v>63</v>
      </c>
      <c r="W15" s="40">
        <f>VLOOKUP($V$1&amp;V15,【1】定价因子!E:F,2,0)</f>
        <v>1</v>
      </c>
      <c r="X15" s="45" t="s">
        <v>63</v>
      </c>
      <c r="Y15" s="40">
        <f>VLOOKUP($X$1&amp;X15,【1】定价因子!$E:$F,2,0)</f>
        <v>1</v>
      </c>
      <c r="Z15" s="45" t="s">
        <v>63</v>
      </c>
      <c r="AA15" s="40">
        <f>VLOOKUP($Z$1&amp;Z15,【1】定价因子!$E:$F,2,0)</f>
        <v>1</v>
      </c>
      <c r="AB15" s="40" t="str">
        <f>VLOOKUP(H15,'【3-1】大区填-采光基本要素'!A:H,8,0)</f>
        <v>1</v>
      </c>
      <c r="AC15" s="40">
        <f>VLOOKUP($AB$1&amp;AB15,【1】定价因子!$E:$F,2,0)</f>
        <v>0.91</v>
      </c>
      <c r="AD15" s="46">
        <f t="shared" si="2"/>
        <v>1115.39780352</v>
      </c>
      <c r="AE15" s="47">
        <v>1150</v>
      </c>
      <c r="AF15" s="48">
        <f t="shared" si="6"/>
        <v>0.0310222921103138</v>
      </c>
      <c r="AG15" s="27">
        <v>1238</v>
      </c>
    </row>
    <row r="16" spans="1:33">
      <c r="A16" s="49" t="str">
        <f>'【2】运营中心填-基本信息&amp;审核标准'!$E$2</f>
        <v>福围广生1-41栋</v>
      </c>
      <c r="B16" s="13">
        <f t="shared" si="3"/>
        <v>5</v>
      </c>
      <c r="C16" s="13">
        <f t="shared" si="0"/>
        <v>4</v>
      </c>
      <c r="D16" s="13">
        <f t="shared" si="1"/>
        <v>12</v>
      </c>
      <c r="E16" s="13"/>
      <c r="F16" s="13">
        <f t="shared" si="4"/>
        <v>4</v>
      </c>
      <c r="G16" s="13"/>
      <c r="H16" s="50">
        <v>502</v>
      </c>
      <c r="I16" s="51" t="s">
        <v>492</v>
      </c>
      <c r="J16" s="51" t="s">
        <v>43</v>
      </c>
      <c r="K16" s="13"/>
      <c r="L16" s="52">
        <f>VLOOKUP(J16,'【3】大区填-楼栋基准格局定价'!B:J,9,0)</f>
        <v>1845.12</v>
      </c>
      <c r="M16" s="53" t="str">
        <f t="shared" si="5"/>
        <v>较狭小</v>
      </c>
      <c r="N16" s="53">
        <v>22.5</v>
      </c>
      <c r="O16" s="54">
        <f>VLOOKUP($M$1&amp;M16,【1】定价因子!E:F,2,0)</f>
        <v>0.95</v>
      </c>
      <c r="P16" s="54" t="str">
        <f>IF(VLOOKUP(H16,'【3-1】大区填-采光基本要素'!A:E,5,FALSE)=0,"无","有")</f>
        <v>有</v>
      </c>
      <c r="Q16" s="54">
        <f>VLOOKUP($P$1&amp;P16,【1】定价因子!E:F,2,0)</f>
        <v>1.07</v>
      </c>
      <c r="R16" s="54" t="str">
        <f>IF('【2】运营中心填-基本信息&amp;审核标准'!$D$4="是","无",IF(INT(H16/100)&gt;9,"9F",INT(H16/100)&amp;"F"))</f>
        <v>5F</v>
      </c>
      <c r="S16" s="54">
        <f>VLOOKUP(R16,【1】定价因子!D:F,3,0)</f>
        <v>0.99</v>
      </c>
      <c r="T16" s="54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无</v>
      </c>
      <c r="U16" s="54">
        <f>VLOOKUP($T$1&amp;T16,【1】定价因子!E:F,2,0)</f>
        <v>1</v>
      </c>
      <c r="V16" s="55" t="s">
        <v>63</v>
      </c>
      <c r="W16" s="54">
        <f>VLOOKUP($V$1&amp;V16,【1】定价因子!E:F,2,0)</f>
        <v>1</v>
      </c>
      <c r="X16" s="55" t="s">
        <v>63</v>
      </c>
      <c r="Y16" s="54">
        <f>VLOOKUP($X$1&amp;X16,【1】定价因子!$E:$F,2,0)</f>
        <v>1</v>
      </c>
      <c r="Z16" s="55" t="s">
        <v>63</v>
      </c>
      <c r="AA16" s="54">
        <f>VLOOKUP($Z$1&amp;Z16,【1】定价因子!$E:$F,2,0)</f>
        <v>1</v>
      </c>
      <c r="AB16" s="54" t="str">
        <f>VLOOKUP(H16,'【3-1】大区填-采光基本要素'!A:H,8,0)</f>
        <v>3</v>
      </c>
      <c r="AC16" s="54">
        <f>VLOOKUP($AB$1&amp;AB16,【1】定价因子!$E:$F,2,0)</f>
        <v>1</v>
      </c>
      <c r="AD16" s="56">
        <f t="shared" si="2"/>
        <v>1856.8088352</v>
      </c>
      <c r="AE16" s="57">
        <v>1837.8</v>
      </c>
      <c r="AF16" s="58">
        <f t="shared" si="6"/>
        <v>-0.0102373679183579</v>
      </c>
    </row>
    <row r="17" spans="1:33">
      <c r="A17" s="49" t="str">
        <f>'【2】运营中心填-基本信息&amp;审核标准'!$E$2</f>
        <v>福围广生1-41栋</v>
      </c>
      <c r="B17" s="13">
        <f t="shared" si="3"/>
        <v>5</v>
      </c>
      <c r="C17" s="13">
        <f t="shared" si="0"/>
        <v>4</v>
      </c>
      <c r="D17" s="13">
        <f t="shared" si="1"/>
        <v>12</v>
      </c>
      <c r="E17" s="13"/>
      <c r="F17" s="13">
        <f t="shared" si="4"/>
        <v>4</v>
      </c>
      <c r="G17" s="13"/>
      <c r="H17" s="50">
        <v>503</v>
      </c>
      <c r="I17" s="51" t="s">
        <v>492</v>
      </c>
      <c r="J17" s="51" t="s">
        <v>43</v>
      </c>
      <c r="K17" s="13"/>
      <c r="L17" s="52">
        <f>VLOOKUP(J17,'【3】大区填-楼栋基准格局定价'!B:J,9,0)</f>
        <v>1845.12</v>
      </c>
      <c r="M17" s="53" t="str">
        <f t="shared" si="5"/>
        <v>适中</v>
      </c>
      <c r="N17" s="53">
        <v>23.22</v>
      </c>
      <c r="O17" s="54">
        <f>VLOOKUP($M$1&amp;M17,【1】定价因子!E:F,2,0)</f>
        <v>1</v>
      </c>
      <c r="P17" s="54" t="str">
        <f>IF(VLOOKUP(H17,'【3-1】大区填-采光基本要素'!A:E,5,FALSE)=0,"无","有")</f>
        <v>有</v>
      </c>
      <c r="Q17" s="54">
        <f>VLOOKUP($P$1&amp;P17,【1】定价因子!E:F,2,0)</f>
        <v>1.07</v>
      </c>
      <c r="R17" s="54" t="str">
        <f>IF('【2】运营中心填-基本信息&amp;审核标准'!$D$4="是","无",IF(INT(H17/100)&gt;9,"9F",INT(H17/100)&amp;"F"))</f>
        <v>5F</v>
      </c>
      <c r="S17" s="54">
        <f>VLOOKUP(R17,【1】定价因子!D:F,3,0)</f>
        <v>0.99</v>
      </c>
      <c r="T17" s="54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无</v>
      </c>
      <c r="U17" s="54">
        <f>VLOOKUP($T$1&amp;T17,【1】定价因子!E:F,2,0)</f>
        <v>1</v>
      </c>
      <c r="V17" s="55" t="s">
        <v>63</v>
      </c>
      <c r="W17" s="54">
        <f>VLOOKUP($V$1&amp;V17,【1】定价因子!E:F,2,0)</f>
        <v>1</v>
      </c>
      <c r="X17" s="55" t="s">
        <v>63</v>
      </c>
      <c r="Y17" s="54">
        <f>VLOOKUP($X$1&amp;X17,【1】定价因子!$E:$F,2,0)</f>
        <v>1</v>
      </c>
      <c r="Z17" s="55" t="s">
        <v>63</v>
      </c>
      <c r="AA17" s="54">
        <f>VLOOKUP($Z$1&amp;Z17,【1】定价因子!$E:$F,2,0)</f>
        <v>1</v>
      </c>
      <c r="AB17" s="54" t="str">
        <f>VLOOKUP(H17,'【3-1】大区填-采光基本要素'!A:H,8,0)</f>
        <v>4</v>
      </c>
      <c r="AC17" s="54">
        <f>VLOOKUP($AB$1&amp;AB17,【1】定价因子!$E:$F,2,0)</f>
        <v>1.03</v>
      </c>
      <c r="AD17" s="56">
        <f t="shared" si="2"/>
        <v>2013.17168448</v>
      </c>
      <c r="AE17" s="57">
        <v>1838</v>
      </c>
      <c r="AF17" s="58">
        <f t="shared" si="6"/>
        <v>-0.08701278973395</v>
      </c>
    </row>
    <row r="18" spans="1:33">
      <c r="A18" s="49" t="str">
        <f>'【2】运营中心填-基本信息&amp;审核标准'!$E$2</f>
        <v>福围广生1-41栋</v>
      </c>
      <c r="B18" s="13">
        <f t="shared" si="3"/>
        <v>5</v>
      </c>
      <c r="C18" s="13">
        <f t="shared" si="0"/>
        <v>4</v>
      </c>
      <c r="D18" s="13">
        <f t="shared" si="1"/>
        <v>12</v>
      </c>
      <c r="E18" s="13"/>
      <c r="F18" s="13">
        <f t="shared" si="4"/>
        <v>4</v>
      </c>
      <c r="G18" s="13"/>
      <c r="H18" s="50">
        <v>504</v>
      </c>
      <c r="I18" s="51" t="s">
        <v>491</v>
      </c>
      <c r="J18" s="51" t="s">
        <v>40</v>
      </c>
      <c r="K18" s="13"/>
      <c r="L18" s="52">
        <f>VLOOKUP(J18,'【3】大区填-楼栋基准格局定价'!B:J,9,0)</f>
        <v>1238.0928</v>
      </c>
      <c r="M18" s="53" t="str">
        <f t="shared" si="5"/>
        <v>适中</v>
      </c>
      <c r="N18" s="53">
        <v>13.35</v>
      </c>
      <c r="O18" s="54">
        <f>VLOOKUP($M$1&amp;M18,【1】定价因子!E:F,2,0)</f>
        <v>1</v>
      </c>
      <c r="P18" s="54" t="str">
        <f>IF(VLOOKUP(H18,'【3-1】大区填-采光基本要素'!A:E,5,FALSE)=0,"无","有")</f>
        <v>无</v>
      </c>
      <c r="Q18" s="54">
        <f>VLOOKUP($P$1&amp;P18,【1】定价因子!E:F,2,0)</f>
        <v>1</v>
      </c>
      <c r="R18" s="54" t="str">
        <f>IF('【2】运营中心填-基本信息&amp;审核标准'!$D$4="是","无",IF(INT(H18/100)&gt;9,"9F",INT(H18/100)&amp;"F"))</f>
        <v>5F</v>
      </c>
      <c r="S18" s="54">
        <f>VLOOKUP(R18,【1】定价因子!D:F,3,0)</f>
        <v>0.99</v>
      </c>
      <c r="T18" s="54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无</v>
      </c>
      <c r="U18" s="54">
        <f>VLOOKUP($T$1&amp;T18,【1】定价因子!E:F,2,0)</f>
        <v>1</v>
      </c>
      <c r="V18" s="55" t="s">
        <v>63</v>
      </c>
      <c r="W18" s="54">
        <f>VLOOKUP($V$1&amp;V18,【1】定价因子!E:F,2,0)</f>
        <v>1</v>
      </c>
      <c r="X18" s="55" t="s">
        <v>63</v>
      </c>
      <c r="Y18" s="54">
        <f>VLOOKUP($X$1&amp;X18,【1】定价因子!$E:$F,2,0)</f>
        <v>1</v>
      </c>
      <c r="Z18" s="55" t="s">
        <v>63</v>
      </c>
      <c r="AA18" s="54">
        <f>VLOOKUP($Z$1&amp;Z18,【1】定价因子!$E:$F,2,0)</f>
        <v>1</v>
      </c>
      <c r="AB18" s="54" t="str">
        <f>VLOOKUP(H18,'【3-1】大区填-采光基本要素'!A:H,8,0)</f>
        <v>3</v>
      </c>
      <c r="AC18" s="54">
        <f>VLOOKUP($AB$1&amp;AB18,【1】定价因子!$E:$F,2,0)</f>
        <v>1</v>
      </c>
      <c r="AD18" s="56">
        <f t="shared" si="2"/>
        <v>1225.711872</v>
      </c>
      <c r="AE18" s="57">
        <v>1337.8</v>
      </c>
      <c r="AF18" s="58">
        <f t="shared" si="6"/>
        <v>0.0914473707569667</v>
      </c>
    </row>
    <row r="19" s="27" customFormat="1" spans="1:33">
      <c r="A19" s="40" t="str">
        <f>'【2】运营中心填-基本信息&amp;审核标准'!$E$2</f>
        <v>福围广生1-41栋</v>
      </c>
      <c r="B19" s="40">
        <f t="shared" si="3"/>
        <v>6</v>
      </c>
      <c r="C19" s="40">
        <f t="shared" si="0"/>
        <v>2</v>
      </c>
      <c r="D19" s="40">
        <f t="shared" si="1"/>
        <v>4</v>
      </c>
      <c r="E19" s="40"/>
      <c r="F19" s="40" t="str">
        <f t="shared" si="4"/>
        <v/>
      </c>
      <c r="G19" s="40"/>
      <c r="H19" s="41">
        <v>601</v>
      </c>
      <c r="I19" s="42" t="s">
        <v>491</v>
      </c>
      <c r="J19" s="42" t="s">
        <v>40</v>
      </c>
      <c r="K19" s="40"/>
      <c r="L19" s="43">
        <f>VLOOKUP(J19,'【3】大区填-楼栋基准格局定价'!B:J,9,0)</f>
        <v>1238.0928</v>
      </c>
      <c r="M19" s="44" t="str">
        <f t="shared" si="5"/>
        <v>适中</v>
      </c>
      <c r="N19" s="44">
        <v>13.66</v>
      </c>
      <c r="O19" s="40">
        <f>VLOOKUP($M$1&amp;M19,【1】定价因子!E:F,2,0)</f>
        <v>1</v>
      </c>
      <c r="P19" s="40" t="str">
        <f>IF(VLOOKUP(H19,'【3-1】大区填-采光基本要素'!A:E,5,FALSE)=0,"无","有")</f>
        <v>无</v>
      </c>
      <c r="Q19" s="40">
        <f>VLOOKUP($P$1&amp;P19,【1】定价因子!E:F,2,0)</f>
        <v>1</v>
      </c>
      <c r="R19" s="40" t="str">
        <f>IF('【2】运营中心填-基本信息&amp;审核标准'!$D$4="是","无",IF(INT(H19/100)&gt;9,"9F",INT(H19/100)&amp;"F"))</f>
        <v>6F</v>
      </c>
      <c r="S19" s="40">
        <f>VLOOKUP(R19,【1】定价因子!D:F,3,0)</f>
        <v>0.98</v>
      </c>
      <c r="T19" s="40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无</v>
      </c>
      <c r="U19" s="40">
        <f>VLOOKUP($T$1&amp;T19,【1】定价因子!E:F,2,0)</f>
        <v>1</v>
      </c>
      <c r="V19" s="45" t="s">
        <v>63</v>
      </c>
      <c r="W19" s="40">
        <f>VLOOKUP($V$1&amp;V19,【1】定价因子!E:F,2,0)</f>
        <v>1</v>
      </c>
      <c r="X19" s="45" t="s">
        <v>63</v>
      </c>
      <c r="Y19" s="40">
        <f>VLOOKUP($X$1&amp;X19,【1】定价因子!$E:$F,2,0)</f>
        <v>1</v>
      </c>
      <c r="Z19" s="45" t="s">
        <v>63</v>
      </c>
      <c r="AA19" s="40">
        <f>VLOOKUP($Z$1&amp;Z19,【1】定价因子!$E:$F,2,0)</f>
        <v>1</v>
      </c>
      <c r="AB19" s="40" t="str">
        <f>VLOOKUP(H19,'【3-1】大区填-采光基本要素'!A:H,8,0)</f>
        <v>2</v>
      </c>
      <c r="AC19" s="40">
        <f>VLOOKUP($AB$1&amp;AB19,【1】定价因子!$E:$F,2,0)</f>
        <v>0.96</v>
      </c>
      <c r="AD19" s="46">
        <f t="shared" si="2"/>
        <v>1164.79770624</v>
      </c>
      <c r="AE19" s="47">
        <v>1150</v>
      </c>
      <c r="AF19" s="48">
        <f t="shared" si="6"/>
        <v>-0.0127040997425788</v>
      </c>
      <c r="AG19" s="27">
        <v>1238</v>
      </c>
    </row>
    <row r="20" s="27" customFormat="1" spans="1:33">
      <c r="A20" s="40" t="str">
        <f>'【2】运营中心填-基本信息&amp;审核标准'!$E$2</f>
        <v>福围广生1-41栋</v>
      </c>
      <c r="B20" s="40">
        <f t="shared" si="3"/>
        <v>6</v>
      </c>
      <c r="C20" s="40">
        <f t="shared" si="0"/>
        <v>2</v>
      </c>
      <c r="D20" s="40">
        <f t="shared" si="1"/>
        <v>4</v>
      </c>
      <c r="E20" s="40"/>
      <c r="F20" s="40" t="str">
        <f t="shared" si="4"/>
        <v/>
      </c>
      <c r="G20" s="40"/>
      <c r="H20" s="41">
        <v>602</v>
      </c>
      <c r="I20" s="42" t="s">
        <v>491</v>
      </c>
      <c r="J20" s="42" t="s">
        <v>40</v>
      </c>
      <c r="K20" s="40"/>
      <c r="L20" s="43">
        <f>VLOOKUP(J20,'【3】大区填-楼栋基准格局定价'!B:J,9,0)</f>
        <v>1238.0928</v>
      </c>
      <c r="M20" s="44" t="str">
        <f t="shared" si="5"/>
        <v>适中</v>
      </c>
      <c r="N20" s="44">
        <v>13.66</v>
      </c>
      <c r="O20" s="40">
        <f>VLOOKUP($M$1&amp;M20,【1】定价因子!E:F,2,0)</f>
        <v>1</v>
      </c>
      <c r="P20" s="40" t="str">
        <f>IF(VLOOKUP(H20,'【3-1】大区填-采光基本要素'!A:E,5,FALSE)=0,"无","有")</f>
        <v>无</v>
      </c>
      <c r="Q20" s="40">
        <f>VLOOKUP($P$1&amp;P20,【1】定价因子!E:F,2,0)</f>
        <v>1</v>
      </c>
      <c r="R20" s="40" t="str">
        <f>IF('【2】运营中心填-基本信息&amp;审核标准'!$D$4="是","无",IF(INT(H20/100)&gt;9,"9F",INT(H20/100)&amp;"F"))</f>
        <v>6F</v>
      </c>
      <c r="S20" s="40">
        <f>VLOOKUP(R20,【1】定价因子!D:F,3,0)</f>
        <v>0.98</v>
      </c>
      <c r="T20" s="40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无</v>
      </c>
      <c r="U20" s="40">
        <f>VLOOKUP($T$1&amp;T20,【1】定价因子!E:F,2,0)</f>
        <v>1</v>
      </c>
      <c r="V20" s="45" t="s">
        <v>63</v>
      </c>
      <c r="W20" s="40">
        <f>VLOOKUP($V$1&amp;V20,【1】定价因子!E:F,2,0)</f>
        <v>1</v>
      </c>
      <c r="X20" s="45" t="s">
        <v>63</v>
      </c>
      <c r="Y20" s="40">
        <f>VLOOKUP($X$1&amp;X20,【1】定价因子!$E:$F,2,0)</f>
        <v>1</v>
      </c>
      <c r="Z20" s="45" t="s">
        <v>63</v>
      </c>
      <c r="AA20" s="40">
        <f>VLOOKUP($Z$1&amp;Z20,【1】定价因子!$E:$F,2,0)</f>
        <v>1</v>
      </c>
      <c r="AB20" s="40" t="str">
        <f>VLOOKUP(H20,'【3-1】大区填-采光基本要素'!A:H,8,0)</f>
        <v>4</v>
      </c>
      <c r="AC20" s="40">
        <f>VLOOKUP($AB$1&amp;AB20,【1】定价因子!$E:$F,2,0)</f>
        <v>1.03</v>
      </c>
      <c r="AD20" s="46">
        <f t="shared" si="2"/>
        <v>1249.73087232</v>
      </c>
      <c r="AE20" s="47">
        <v>1250</v>
      </c>
      <c r="AF20" s="48">
        <f t="shared" si="6"/>
        <v>0.000215348508995739</v>
      </c>
      <c r="AG20" s="27">
        <v>1338</v>
      </c>
    </row>
  </sheetData>
  <autoFilter xmlns:etc="http://www.wps.cn/officeDocument/2017/etCustomData" ref="A1:AF20" etc:filterBottomFollowUsedRange="0">
    <extLst/>
  </autoFilter>
  <dataValidations count="1">
    <dataValidation type="list" allowBlank="1" showInputMessage="1" showErrorMessage="1" sqref="AB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F26"/>
  <sheetViews>
    <sheetView zoomScale="84" zoomScaleNormal="84" workbookViewId="0">
      <selection activeCell="K26" sqref="K26"/>
    </sheetView>
  </sheetViews>
  <sheetFormatPr defaultColWidth="9" defaultRowHeight="13.8" outlineLevelCol="5"/>
  <cols>
    <col min="1" max="6" width="10.75" customWidth="1"/>
  </cols>
  <sheetData>
    <row r="1" ht="14.25" customHeight="1" spans="1:6">
      <c r="A1" s="16" t="str">
        <f>"安居乐寓"&amp;'【2】运营中心填-基本信息&amp;审核标准'!C2&amp;'【2】运营中心填-基本信息&amp;审核标准'!E2&amp;"公寓定价"</f>
        <v>安居乐寓福围村福围广生1-41栋公寓定价</v>
      </c>
      <c r="B1" s="17"/>
      <c r="C1" s="17"/>
      <c r="D1" s="17"/>
      <c r="E1" s="17"/>
      <c r="F1" s="17"/>
    </row>
    <row r="2" ht="14.25" customHeight="1" spans="1:6">
      <c r="A2" s="16"/>
      <c r="B2" s="17"/>
      <c r="C2" s="17"/>
      <c r="D2" s="17"/>
      <c r="E2" s="17"/>
      <c r="F2" s="17"/>
    </row>
    <row r="3" ht="14.25" customHeight="1" spans="1:6">
      <c r="A3" s="18" t="s">
        <v>493</v>
      </c>
      <c r="B3" s="19" t="s">
        <v>494</v>
      </c>
      <c r="C3" s="20">
        <v>101</v>
      </c>
      <c r="D3" s="20">
        <v>102</v>
      </c>
      <c r="E3" s="20"/>
      <c r="F3" s="20"/>
    </row>
    <row r="4" ht="14.25" customHeight="1" spans="1:6">
      <c r="A4" s="18"/>
      <c r="B4" s="19" t="s">
        <v>361</v>
      </c>
      <c r="C4" s="4" t="str">
        <f>VLOOKUP(C3,'【3-2】大区&amp;运营中心填-房间模型价'!$H:$AE,2,0)</f>
        <v>1-41A</v>
      </c>
      <c r="D4" s="4" t="str">
        <f>VLOOKUP(D3,'【3-2】大区&amp;运营中心填-房间模型价'!$H:$AE,2,0)</f>
        <v>1-41B</v>
      </c>
      <c r="E4" s="4"/>
      <c r="F4" s="4"/>
    </row>
    <row r="5" ht="14.25" customHeight="1" spans="1:6">
      <c r="A5" s="21"/>
      <c r="B5" s="22" t="s">
        <v>495</v>
      </c>
      <c r="C5" s="23">
        <f>VLOOKUP(C3,'【3-2】大区&amp;运营中心填-房间模型价'!$H:$AE,24,0)</f>
        <v>850</v>
      </c>
      <c r="D5" s="23">
        <f>VLOOKUP(D3,'【3-2】大区&amp;运营中心填-房间模型价'!$H:$AE,24,0)</f>
        <v>1407.8</v>
      </c>
      <c r="E5" s="23"/>
      <c r="F5" s="23"/>
    </row>
    <row r="6" ht="14.25" customHeight="1" spans="1:6">
      <c r="A6" s="24"/>
      <c r="B6" s="25"/>
      <c r="C6" s="26"/>
      <c r="D6" s="26"/>
      <c r="E6" s="26"/>
      <c r="F6" s="26"/>
    </row>
    <row r="7" ht="16.2" spans="1:6">
      <c r="A7" s="18" t="s">
        <v>496</v>
      </c>
      <c r="B7" s="19" t="s">
        <v>494</v>
      </c>
      <c r="C7" s="20">
        <v>201</v>
      </c>
      <c r="D7" s="20">
        <v>202</v>
      </c>
      <c r="E7" s="20">
        <v>203</v>
      </c>
      <c r="F7" s="20"/>
    </row>
    <row r="8" ht="16.2" spans="1:6">
      <c r="A8" s="18"/>
      <c r="B8" s="19" t="s">
        <v>361</v>
      </c>
      <c r="C8" s="4" t="str">
        <f>VLOOKUP(C7,'【3-2】大区&amp;运营中心填-房间模型价'!$H:$AE,2,0)</f>
        <v>1-41C</v>
      </c>
      <c r="D8" s="4" t="str">
        <f>VLOOKUP(D7,'【3-2】大区&amp;运营中心填-房间模型价'!$H:$AE,2,0)</f>
        <v>1-41D</v>
      </c>
      <c r="E8" s="4" t="str">
        <f>VLOOKUP(E7,'【3-2】大区&amp;运营中心填-房间模型价'!$H:$AE,2,0)</f>
        <v>1-41E</v>
      </c>
      <c r="F8" s="4"/>
    </row>
    <row r="9" ht="16.2" spans="1:6">
      <c r="A9" s="21"/>
      <c r="B9" s="22" t="s">
        <v>495</v>
      </c>
      <c r="C9" s="23">
        <f>VLOOKUP(C7,'【3-2】大区&amp;运营中心填-房间模型价'!$H:$AE,24,0)</f>
        <v>1137.8</v>
      </c>
      <c r="D9" s="23">
        <f>VLOOKUP(D7,'【3-2】大区&amp;运营中心填-房间模型价'!$H:$AE,24,0)</f>
        <v>1517.8</v>
      </c>
      <c r="E9" s="23">
        <f>VLOOKUP(E7,'【3-2】大区&amp;运营中心填-房间模型价'!$H:$AE,24,0)</f>
        <v>1878</v>
      </c>
      <c r="F9" s="23"/>
    </row>
    <row r="10" ht="17.4" spans="1:6">
      <c r="A10" s="24"/>
      <c r="B10" s="25"/>
      <c r="C10" s="26"/>
      <c r="D10" s="26"/>
      <c r="E10" s="26"/>
      <c r="F10" s="26"/>
    </row>
    <row r="11" ht="16.2" spans="1:6">
      <c r="A11" s="18" t="s">
        <v>497</v>
      </c>
      <c r="B11" s="19" t="s">
        <v>494</v>
      </c>
      <c r="C11" s="20">
        <v>301</v>
      </c>
      <c r="D11" s="20">
        <v>302</v>
      </c>
      <c r="E11" s="20">
        <v>303</v>
      </c>
      <c r="F11" s="20">
        <v>304</v>
      </c>
    </row>
    <row r="12" ht="16.2" spans="1:6">
      <c r="A12" s="18"/>
      <c r="B12" s="19" t="s">
        <v>361</v>
      </c>
      <c r="C12" s="4" t="str">
        <f>VLOOKUP(C11,'【3-2】大区&amp;运营中心填-房间模型价'!$H:$AE,2,0)</f>
        <v>1-41F</v>
      </c>
      <c r="D12" s="4" t="str">
        <f>VLOOKUP(D11,'【3-2】大区&amp;运营中心填-房间模型价'!$H:$AE,2,0)</f>
        <v>1-41G</v>
      </c>
      <c r="E12" s="4" t="str">
        <f>VLOOKUP(E11,'【3-2】大区&amp;运营中心填-房间模型价'!$H:$AE,2,0)</f>
        <v>1-41G</v>
      </c>
      <c r="F12" s="4" t="str">
        <f>VLOOKUP(F11,'【3-2】大区&amp;运营中心填-房间模型价'!$H:$AE,2,0)</f>
        <v>1-41F</v>
      </c>
    </row>
    <row r="13" ht="16.2" spans="1:6">
      <c r="A13" s="21"/>
      <c r="B13" s="22" t="s">
        <v>495</v>
      </c>
      <c r="C13" s="23">
        <v>1433.8</v>
      </c>
      <c r="D13" s="23">
        <f>VLOOKUP(D11,'【3-2】大区&amp;运营中心填-房间模型价'!$H:$AE,24,0)</f>
        <v>1837.8</v>
      </c>
      <c r="E13" s="23">
        <f>VLOOKUP(E11,'【3-2】大区&amp;运营中心填-房间模型价'!$H:$AE,24,0)</f>
        <v>1868</v>
      </c>
      <c r="F13" s="23">
        <f>VLOOKUP(F11,'【3-2】大区&amp;运营中心填-房间模型价'!$H:$AE,24,0)</f>
        <v>1337.8</v>
      </c>
    </row>
    <row r="14" ht="17.4" spans="1:6">
      <c r="A14" s="24"/>
      <c r="B14" s="25"/>
      <c r="C14" s="26"/>
      <c r="D14" s="26"/>
      <c r="E14" s="26"/>
      <c r="F14" s="26"/>
    </row>
    <row r="15" ht="16.2" spans="1:6">
      <c r="A15" s="18" t="s">
        <v>498</v>
      </c>
      <c r="B15" s="19" t="s">
        <v>494</v>
      </c>
      <c r="C15" s="20">
        <v>401</v>
      </c>
      <c r="D15" s="20">
        <v>402</v>
      </c>
      <c r="E15" s="20">
        <v>403</v>
      </c>
      <c r="F15" s="20">
        <v>404</v>
      </c>
    </row>
    <row r="16" ht="16.2" spans="1:6">
      <c r="A16" s="18"/>
      <c r="B16" s="19" t="s">
        <v>361</v>
      </c>
      <c r="C16" s="4" t="str">
        <f>VLOOKUP(C15,'【3-2】大区&amp;运营中心填-房间模型价'!$H:$AE,2,0)</f>
        <v>1-41F</v>
      </c>
      <c r="D16" s="4" t="str">
        <f>VLOOKUP(D15,'【3-2】大区&amp;运营中心填-房间模型价'!$H:$AE,2,0)</f>
        <v>1-41G</v>
      </c>
      <c r="E16" s="4" t="str">
        <f>VLOOKUP(E15,'【3-2】大区&amp;运营中心填-房间模型价'!$H:$AE,2,0)</f>
        <v>1-41G</v>
      </c>
      <c r="F16" s="4" t="str">
        <f>VLOOKUP(F15,'【3-2】大区&amp;运营中心填-房间模型价'!$H:$AE,2,0)</f>
        <v>1-41F</v>
      </c>
    </row>
    <row r="17" ht="16.2" spans="1:6">
      <c r="A17" s="21"/>
      <c r="B17" s="22" t="s">
        <v>495</v>
      </c>
      <c r="C17" s="23">
        <f>VLOOKUP(C15,'【3-2】大区&amp;运营中心填-房间模型价'!$H:$AE,24,0)</f>
        <v>1150</v>
      </c>
      <c r="D17" s="23">
        <f>VLOOKUP(D15,'【3-2】大区&amp;运营中心填-房间模型价'!$H:$AE,24,0)</f>
        <v>1837.8</v>
      </c>
      <c r="E17" s="23">
        <f>VLOOKUP(E15,'【3-2】大区&amp;运营中心填-房间模型价'!$H:$AE,24,0)</f>
        <v>1868</v>
      </c>
      <c r="F17" s="23">
        <f>VLOOKUP(F15,'【3-2】大区&amp;运营中心填-房间模型价'!$H:$AE,24,0)</f>
        <v>1250</v>
      </c>
    </row>
    <row r="18" ht="17.4" spans="1:6">
      <c r="A18" s="24"/>
      <c r="B18" s="25"/>
      <c r="C18" s="26"/>
      <c r="D18" s="26"/>
      <c r="E18" s="26"/>
      <c r="F18" s="26"/>
    </row>
    <row r="19" ht="16.2" spans="1:6">
      <c r="A19" s="18" t="s">
        <v>499</v>
      </c>
      <c r="B19" s="19" t="s">
        <v>494</v>
      </c>
      <c r="C19" s="20">
        <v>501</v>
      </c>
      <c r="D19" s="20">
        <v>502</v>
      </c>
      <c r="E19" s="20">
        <v>503</v>
      </c>
      <c r="F19" s="20">
        <v>504</v>
      </c>
    </row>
    <row r="20" ht="16.2" spans="1:6">
      <c r="A20" s="18"/>
      <c r="B20" s="19" t="s">
        <v>361</v>
      </c>
      <c r="C20" s="4" t="str">
        <f>VLOOKUP(C19,'【3-2】大区&amp;运营中心填-房间模型价'!$H:$AE,2,0)</f>
        <v>1-41F</v>
      </c>
      <c r="D20" s="4" t="str">
        <f>VLOOKUP(D19,'【3-2】大区&amp;运营中心填-房间模型价'!$H:$AE,2,0)</f>
        <v>1-41G</v>
      </c>
      <c r="E20" s="4" t="str">
        <f>VLOOKUP(E19,'【3-2】大区&amp;运营中心填-房间模型价'!$H:$AE,2,0)</f>
        <v>1-41G</v>
      </c>
      <c r="F20" s="4" t="str">
        <f>VLOOKUP(F19,'【3-2】大区&amp;运营中心填-房间模型价'!$H:$AE,2,0)</f>
        <v>1-41F</v>
      </c>
    </row>
    <row r="21" ht="16.2" spans="1:6">
      <c r="A21" s="21"/>
      <c r="B21" s="22" t="s">
        <v>495</v>
      </c>
      <c r="C21" s="23">
        <f>VLOOKUP(C19,'【3-2】大区&amp;运营中心填-房间模型价'!$H:$AE,24,0)</f>
        <v>1150</v>
      </c>
      <c r="D21" s="23">
        <f>VLOOKUP(D19,'【3-2】大区&amp;运营中心填-房间模型价'!$H:$AE,24,0)</f>
        <v>1837.8</v>
      </c>
      <c r="E21" s="23">
        <f>VLOOKUP(E19,'【3-2】大区&amp;运营中心填-房间模型价'!$H:$AE,24,0)</f>
        <v>1838</v>
      </c>
      <c r="F21" s="23">
        <f>VLOOKUP(F19,'【3-2】大区&amp;运营中心填-房间模型价'!$H:$AE,24,0)</f>
        <v>1337.8</v>
      </c>
    </row>
    <row r="22" ht="17.4" spans="1:6">
      <c r="A22" s="24"/>
      <c r="B22" s="25"/>
      <c r="C22" s="26"/>
      <c r="D22" s="26"/>
      <c r="E22" s="26"/>
      <c r="F22" s="26"/>
    </row>
    <row r="23" ht="16.2" spans="1:6">
      <c r="A23" s="18" t="s">
        <v>500</v>
      </c>
      <c r="B23" s="19" t="s">
        <v>494</v>
      </c>
      <c r="C23" s="20">
        <v>601</v>
      </c>
      <c r="D23" s="20">
        <v>602</v>
      </c>
      <c r="E23" s="20"/>
      <c r="F23" s="20"/>
    </row>
    <row r="24" ht="16.2" spans="1:6">
      <c r="A24" s="18"/>
      <c r="B24" s="19" t="s">
        <v>361</v>
      </c>
      <c r="C24" s="4" t="str">
        <f>VLOOKUP(C23,'【3-2】大区&amp;运营中心填-房间模型价'!$H:$AE,2,0)</f>
        <v>1-41F</v>
      </c>
      <c r="D24" s="4" t="str">
        <f>VLOOKUP(D23,'【3-2】大区&amp;运营中心填-房间模型价'!$H:$AE,2,0)</f>
        <v>1-41F</v>
      </c>
      <c r="E24" s="4"/>
      <c r="F24" s="4"/>
    </row>
    <row r="25" ht="16.2" spans="1:6">
      <c r="A25" s="21"/>
      <c r="B25" s="22" t="s">
        <v>495</v>
      </c>
      <c r="C25" s="23">
        <f>VLOOKUP(C23,'【3-2】大区&amp;运营中心填-房间模型价'!$H:$AE,24,0)</f>
        <v>1150</v>
      </c>
      <c r="D25" s="23">
        <f>VLOOKUP(D23,'【3-2】大区&amp;运营中心填-房间模型价'!$H:$AE,24,0)</f>
        <v>1250</v>
      </c>
      <c r="E25" s="23"/>
      <c r="F25" s="23"/>
    </row>
    <row r="26" ht="17.4" spans="1:6">
      <c r="A26" s="24"/>
      <c r="B26" s="25"/>
      <c r="C26" s="26"/>
      <c r="D26" s="26"/>
      <c r="E26" s="26"/>
      <c r="F26" s="26"/>
    </row>
  </sheetData>
  <mergeCells count="7">
    <mergeCell ref="A3:A5"/>
    <mergeCell ref="A7:A9"/>
    <mergeCell ref="A11:A13"/>
    <mergeCell ref="A15:A17"/>
    <mergeCell ref="A19:A21"/>
    <mergeCell ref="A23:A25"/>
    <mergeCell ref="A1:F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"/>
  <sheetViews>
    <sheetView zoomScale="110" zoomScaleNormal="110" topLeftCell="H1" workbookViewId="0">
      <selection activeCell="L20" sqref="L20"/>
    </sheetView>
  </sheetViews>
  <sheetFormatPr defaultColWidth="9" defaultRowHeight="13.8"/>
  <sheetData/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B1:AB15"/>
  <sheetViews>
    <sheetView workbookViewId="0">
      <selection activeCell="L20" sqref="L20"/>
    </sheetView>
  </sheetViews>
  <sheetFormatPr defaultColWidth="9" defaultRowHeight="13.8"/>
  <cols>
    <col min="2" max="2" width="15.4166666666667" customWidth="1"/>
    <col min="11" max="11" width="9.66666666666667" customWidth="1"/>
  </cols>
  <sheetData>
    <row r="1" ht="17.4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2" spans="2:28">
      <c r="B3" s="4" t="s">
        <v>501</v>
      </c>
      <c r="C3" s="5" t="s">
        <v>502</v>
      </c>
      <c r="D3" s="6" t="s">
        <v>503</v>
      </c>
      <c r="E3" s="7" t="s">
        <v>504</v>
      </c>
      <c r="F3" s="8" t="s">
        <v>132</v>
      </c>
      <c r="G3" s="9" t="s">
        <v>505</v>
      </c>
      <c r="H3" s="10" t="s">
        <v>506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6" spans="2:28">
      <c r="B4" s="11" t="s">
        <v>507</v>
      </c>
      <c r="C4" s="4" t="s">
        <v>508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6" spans="2:28">
      <c r="B5" s="11"/>
      <c r="C5" s="4" t="s">
        <v>509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6" spans="2:28">
      <c r="B7" s="4" t="s">
        <v>510</v>
      </c>
      <c r="C7" s="4"/>
      <c r="D7" s="4"/>
      <c r="E7" s="4"/>
      <c r="F7" s="4"/>
      <c r="G7" s="4"/>
      <c r="H7" s="3"/>
      <c r="I7" s="4" t="s">
        <v>510</v>
      </c>
      <c r="J7" s="4"/>
      <c r="K7" s="4"/>
      <c r="L7" s="4"/>
      <c r="M7" s="4"/>
      <c r="N7" s="4" t="s">
        <v>157</v>
      </c>
      <c r="O7" s="3"/>
      <c r="P7" s="4" t="s">
        <v>510</v>
      </c>
      <c r="Q7" s="4"/>
      <c r="R7" s="4"/>
      <c r="S7" s="4"/>
      <c r="T7" s="4"/>
      <c r="U7" s="4" t="s">
        <v>157</v>
      </c>
      <c r="V7" s="3"/>
      <c r="W7" s="4" t="s">
        <v>510</v>
      </c>
      <c r="X7" s="4"/>
      <c r="Y7" s="4"/>
      <c r="Z7" s="4"/>
      <c r="AA7" s="4"/>
      <c r="AB7" s="4" t="s">
        <v>157</v>
      </c>
    </row>
    <row r="8" ht="15.6" spans="2:28">
      <c r="B8" s="4" t="s">
        <v>511</v>
      </c>
      <c r="C8" s="4"/>
      <c r="D8" s="4"/>
      <c r="E8" s="4"/>
      <c r="F8" s="4" t="s">
        <v>157</v>
      </c>
      <c r="G8" s="4"/>
      <c r="H8" s="3"/>
      <c r="I8" s="4" t="s">
        <v>511</v>
      </c>
      <c r="J8" s="4"/>
      <c r="K8" s="4"/>
      <c r="L8" s="4"/>
      <c r="M8" s="4" t="s">
        <v>157</v>
      </c>
      <c r="N8" s="4" t="s">
        <v>157</v>
      </c>
      <c r="O8" s="3"/>
      <c r="P8" s="4" t="s">
        <v>511</v>
      </c>
      <c r="Q8" s="4"/>
      <c r="R8" s="4"/>
      <c r="S8" s="4"/>
      <c r="T8" s="4" t="s">
        <v>157</v>
      </c>
      <c r="U8" s="4" t="s">
        <v>157</v>
      </c>
      <c r="V8" s="3"/>
      <c r="W8" s="4" t="s">
        <v>511</v>
      </c>
      <c r="X8" s="4"/>
      <c r="Y8" s="4"/>
      <c r="Z8" s="4"/>
      <c r="AA8" s="4" t="s">
        <v>157</v>
      </c>
      <c r="AB8" s="4" t="s">
        <v>157</v>
      </c>
    </row>
    <row r="9" ht="15.6" spans="2:28">
      <c r="B9" s="4" t="s">
        <v>512</v>
      </c>
      <c r="C9" s="4"/>
      <c r="D9" s="4"/>
      <c r="E9" s="4" t="s">
        <v>157</v>
      </c>
      <c r="F9" s="4" t="s">
        <v>388</v>
      </c>
      <c r="G9" s="4"/>
      <c r="H9" s="3"/>
      <c r="I9" s="4" t="s">
        <v>512</v>
      </c>
      <c r="J9" s="4"/>
      <c r="K9" s="4"/>
      <c r="L9" s="4" t="s">
        <v>157</v>
      </c>
      <c r="M9" s="4" t="s">
        <v>157</v>
      </c>
      <c r="N9" s="4" t="s">
        <v>388</v>
      </c>
      <c r="O9" s="3"/>
      <c r="P9" s="4" t="s">
        <v>512</v>
      </c>
      <c r="Q9" s="4"/>
      <c r="R9" s="4"/>
      <c r="S9" s="4" t="s">
        <v>157</v>
      </c>
      <c r="T9" s="4" t="s">
        <v>157</v>
      </c>
      <c r="U9" s="4" t="s">
        <v>388</v>
      </c>
      <c r="V9" s="3"/>
      <c r="W9" s="4" t="s">
        <v>512</v>
      </c>
      <c r="X9" s="4"/>
      <c r="Y9" s="4"/>
      <c r="Z9" s="4" t="s">
        <v>157</v>
      </c>
      <c r="AA9" s="4" t="s">
        <v>157</v>
      </c>
      <c r="AB9" s="4" t="s">
        <v>388</v>
      </c>
    </row>
    <row r="10" ht="15.6" spans="2:28">
      <c r="B10" s="4" t="s">
        <v>513</v>
      </c>
      <c r="C10" s="4"/>
      <c r="D10" s="4" t="s">
        <v>157</v>
      </c>
      <c r="E10" s="4" t="s">
        <v>388</v>
      </c>
      <c r="F10" s="4" t="s">
        <v>63</v>
      </c>
      <c r="G10" s="4"/>
      <c r="H10" s="3"/>
      <c r="I10" s="4" t="s">
        <v>513</v>
      </c>
      <c r="J10" s="4"/>
      <c r="K10" s="4" t="s">
        <v>157</v>
      </c>
      <c r="L10" s="4" t="s">
        <v>157</v>
      </c>
      <c r="M10" s="4" t="s">
        <v>388</v>
      </c>
      <c r="N10" s="4" t="s">
        <v>63</v>
      </c>
      <c r="O10" s="3"/>
      <c r="P10" s="4" t="s">
        <v>513</v>
      </c>
      <c r="Q10" s="4"/>
      <c r="R10" s="4" t="s">
        <v>157</v>
      </c>
      <c r="S10" s="4" t="s">
        <v>157</v>
      </c>
      <c r="T10" s="4" t="s">
        <v>388</v>
      </c>
      <c r="U10" s="4" t="s">
        <v>63</v>
      </c>
      <c r="V10" s="3"/>
      <c r="W10" s="4" t="s">
        <v>513</v>
      </c>
      <c r="X10" s="4"/>
      <c r="Y10" s="4" t="s">
        <v>157</v>
      </c>
      <c r="Z10" s="4" t="s">
        <v>157</v>
      </c>
      <c r="AA10" s="4" t="s">
        <v>388</v>
      </c>
      <c r="AB10" s="4" t="s">
        <v>63</v>
      </c>
    </row>
    <row r="11" ht="15.6" spans="2:28">
      <c r="B11" s="4" t="s">
        <v>514</v>
      </c>
      <c r="C11" s="4" t="s">
        <v>157</v>
      </c>
      <c r="D11" s="4" t="s">
        <v>388</v>
      </c>
      <c r="E11" s="4" t="s">
        <v>63</v>
      </c>
      <c r="F11" s="4" t="s">
        <v>515</v>
      </c>
      <c r="G11" s="4"/>
      <c r="H11" s="3"/>
      <c r="I11" s="4" t="s">
        <v>514</v>
      </c>
      <c r="J11" s="4" t="s">
        <v>157</v>
      </c>
      <c r="K11" s="4" t="s">
        <v>157</v>
      </c>
      <c r="L11" s="4" t="s">
        <v>388</v>
      </c>
      <c r="M11" s="4" t="s">
        <v>63</v>
      </c>
      <c r="N11" s="4" t="s">
        <v>515</v>
      </c>
      <c r="O11" s="3"/>
      <c r="P11" s="4" t="s">
        <v>514</v>
      </c>
      <c r="Q11" s="4" t="s">
        <v>157</v>
      </c>
      <c r="R11" s="4" t="s">
        <v>157</v>
      </c>
      <c r="S11" s="4" t="s">
        <v>388</v>
      </c>
      <c r="T11" s="4" t="s">
        <v>63</v>
      </c>
      <c r="U11" s="4" t="s">
        <v>515</v>
      </c>
      <c r="V11" s="3"/>
      <c r="W11" s="4" t="s">
        <v>514</v>
      </c>
      <c r="X11" s="4" t="s">
        <v>157</v>
      </c>
      <c r="Y11" s="4" t="s">
        <v>157</v>
      </c>
      <c r="Z11" s="4" t="s">
        <v>388</v>
      </c>
      <c r="AA11" s="4" t="s">
        <v>63</v>
      </c>
      <c r="AB11" s="4" t="s">
        <v>515</v>
      </c>
    </row>
    <row r="12" ht="15.6" spans="2:28">
      <c r="B12" s="4" t="s">
        <v>516</v>
      </c>
      <c r="C12" s="4" t="s">
        <v>388</v>
      </c>
      <c r="D12" s="4" t="s">
        <v>63</v>
      </c>
      <c r="E12" s="4" t="s">
        <v>515</v>
      </c>
      <c r="F12" s="9" t="s">
        <v>379</v>
      </c>
      <c r="G12" s="4"/>
      <c r="H12" s="3"/>
      <c r="I12" s="4" t="s">
        <v>516</v>
      </c>
      <c r="J12" s="4" t="s">
        <v>157</v>
      </c>
      <c r="K12" s="4" t="s">
        <v>388</v>
      </c>
      <c r="L12" s="4" t="s">
        <v>63</v>
      </c>
      <c r="M12" s="9" t="s">
        <v>515</v>
      </c>
      <c r="N12" s="4" t="s">
        <v>379</v>
      </c>
      <c r="O12" s="3"/>
      <c r="P12" s="4" t="s">
        <v>516</v>
      </c>
      <c r="Q12" s="4" t="s">
        <v>157</v>
      </c>
      <c r="R12" s="4" t="s">
        <v>388</v>
      </c>
      <c r="S12" s="4" t="s">
        <v>63</v>
      </c>
      <c r="T12" s="9" t="s">
        <v>515</v>
      </c>
      <c r="U12" s="4" t="s">
        <v>379</v>
      </c>
      <c r="V12" s="3"/>
      <c r="W12" s="4" t="s">
        <v>516</v>
      </c>
      <c r="X12" s="4" t="s">
        <v>157</v>
      </c>
      <c r="Y12" s="4" t="s">
        <v>388</v>
      </c>
      <c r="Z12" s="4" t="s">
        <v>63</v>
      </c>
      <c r="AA12" s="9" t="s">
        <v>515</v>
      </c>
      <c r="AB12" s="4" t="s">
        <v>379</v>
      </c>
    </row>
    <row r="13" ht="15.6" spans="2:28">
      <c r="B13" s="4"/>
      <c r="C13" s="4" t="s">
        <v>517</v>
      </c>
      <c r="D13" s="4" t="s">
        <v>518</v>
      </c>
      <c r="E13" s="4" t="s">
        <v>519</v>
      </c>
      <c r="F13" s="4" t="s">
        <v>520</v>
      </c>
      <c r="G13" s="4" t="s">
        <v>521</v>
      </c>
      <c r="H13" s="2"/>
      <c r="I13" s="4"/>
      <c r="J13" s="4" t="s">
        <v>517</v>
      </c>
      <c r="K13" s="4" t="s">
        <v>518</v>
      </c>
      <c r="L13" s="4" t="s">
        <v>519</v>
      </c>
      <c r="M13" s="4" t="s">
        <v>520</v>
      </c>
      <c r="N13" s="4" t="s">
        <v>521</v>
      </c>
      <c r="O13" s="3"/>
      <c r="P13" s="4"/>
      <c r="Q13" s="4" t="s">
        <v>517</v>
      </c>
      <c r="R13" s="4" t="s">
        <v>518</v>
      </c>
      <c r="S13" s="4" t="s">
        <v>519</v>
      </c>
      <c r="T13" s="4" t="s">
        <v>520</v>
      </c>
      <c r="U13" s="4" t="s">
        <v>521</v>
      </c>
      <c r="V13" s="3"/>
      <c r="W13" s="4"/>
      <c r="X13" s="4" t="s">
        <v>517</v>
      </c>
      <c r="Y13" s="4" t="s">
        <v>518</v>
      </c>
      <c r="Z13" s="4" t="s">
        <v>519</v>
      </c>
      <c r="AA13" s="4" t="s">
        <v>520</v>
      </c>
      <c r="AB13" s="4" t="s">
        <v>521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2" spans="2:28">
      <c r="B15" s="14" t="s">
        <v>522</v>
      </c>
      <c r="C15" s="14"/>
      <c r="D15" s="14"/>
      <c r="E15" s="14"/>
      <c r="F15" s="14"/>
      <c r="G15" s="14"/>
      <c r="H15" s="3"/>
      <c r="I15" s="15" t="s">
        <v>523</v>
      </c>
      <c r="J15" s="15"/>
      <c r="K15" s="15"/>
      <c r="L15" s="15"/>
      <c r="M15" s="15"/>
      <c r="N15" s="15"/>
      <c r="O15" s="3"/>
      <c r="P15" s="3"/>
      <c r="Q15" s="3"/>
      <c r="R15" s="15" t="s">
        <v>524</v>
      </c>
      <c r="S15" s="15"/>
      <c r="T15" s="3"/>
      <c r="U15" s="3"/>
      <c r="V15" s="3"/>
      <c r="W15" s="3"/>
      <c r="X15" s="3"/>
      <c r="Y15" s="15" t="s">
        <v>525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许宏兴</cp:lastModifiedBy>
  <dcterms:created xsi:type="dcterms:W3CDTF">2015-06-10T18:17:00Z</dcterms:created>
  <dcterms:modified xsi:type="dcterms:W3CDTF">2026-02-11T03:13:28Z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8BF2220FD6B64888A7F3A8BB65F1A30C_13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CalculationRule">
    <vt:i4>0</vt:i4>
  </property>
</Properties>
</file>